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wide_Demography" sheetId="1" r:id="rId5"/>
    <sheet state="visible" name="District-wise_Demography" sheetId="2" r:id="rId6"/>
    <sheet state="visible" name="District-wise_Profession Backgr" sheetId="3" r:id="rId7"/>
    <sheet state="visible" name="Assessments" sheetId="4" r:id="rId8"/>
    <sheet state="visible" name="Confidence - Service" sheetId="5" r:id="rId9"/>
  </sheets>
  <definedNames/>
  <calcPr/>
</workbook>
</file>

<file path=xl/sharedStrings.xml><?xml version="1.0" encoding="utf-8"?>
<sst xmlns="http://schemas.openxmlformats.org/spreadsheetml/2006/main" count="310" uniqueCount="138">
  <si>
    <t>DISTRICT-WISE GENDER BREAKDOWN</t>
  </si>
  <si>
    <t>PLV DEMOGRAPHY — Baseline Respondents (2,581) | 24 DLSAs | Karnataka 2025–26</t>
  </si>
  <si>
    <t>DLSA</t>
  </si>
  <si>
    <t>PLV KNOWLEDGE ASSESSMENT — District Results (Sorted by Improvement)</t>
  </si>
  <si>
    <t>Total</t>
  </si>
  <si>
    <t>Female</t>
  </si>
  <si>
    <t>Male</t>
  </si>
  <si>
    <t>Transgender / Other</t>
  </si>
  <si>
    <t>Other</t>
  </si>
  <si>
    <t>Not Specified</t>
  </si>
  <si>
    <t>% Female</t>
  </si>
  <si>
    <t>Belagavi</t>
  </si>
  <si>
    <t>Bidar</t>
  </si>
  <si>
    <t>DLSA_Code</t>
  </si>
  <si>
    <t>Baseline (n)</t>
  </si>
  <si>
    <t>Endline (n)</t>
  </si>
  <si>
    <t>Avg Baseline Score</t>
  </si>
  <si>
    <t>Avg Endline Score</t>
  </si>
  <si>
    <t>Avg Baseline %</t>
  </si>
  <si>
    <t>Haveri</t>
  </si>
  <si>
    <t>Avg Endline %</t>
  </si>
  <si>
    <t>Score Improvement PP</t>
  </si>
  <si>
    <t>Growth (%)</t>
  </si>
  <si>
    <t>Kalaburagi</t>
  </si>
  <si>
    <t>BLG</t>
  </si>
  <si>
    <t>Koppal</t>
  </si>
  <si>
    <t>Raichur</t>
  </si>
  <si>
    <t>DISTRICT-WISE PROFESSION / BACKGROUND BREAKDOWN</t>
  </si>
  <si>
    <t>Vijayapura</t>
  </si>
  <si>
    <t>Yadgir</t>
  </si>
  <si>
    <t>Chikkaballapur</t>
  </si>
  <si>
    <t>BDR</t>
  </si>
  <si>
    <t>Chikkamagaluru</t>
  </si>
  <si>
    <t>Chitradurga</t>
  </si>
  <si>
    <t>HVR</t>
  </si>
  <si>
    <t>Davanagere</t>
  </si>
  <si>
    <t>KLB</t>
  </si>
  <si>
    <t>Hassan</t>
  </si>
  <si>
    <t>Shivamogga</t>
  </si>
  <si>
    <t>KPL</t>
  </si>
  <si>
    <t>Tumakuru</t>
  </si>
  <si>
    <t>RCR</t>
  </si>
  <si>
    <t>Udupi</t>
  </si>
  <si>
    <t>VJP</t>
  </si>
  <si>
    <t>Bengaluru Rural</t>
  </si>
  <si>
    <t>YDG</t>
  </si>
  <si>
    <t>Bengaluru Urban</t>
  </si>
  <si>
    <t>CKB</t>
  </si>
  <si>
    <t>Chamarajanagara</t>
  </si>
  <si>
    <t>GENDER</t>
  </si>
  <si>
    <t>CKM</t>
  </si>
  <si>
    <t>Kodagu</t>
  </si>
  <si>
    <t>Kolar</t>
  </si>
  <si>
    <t>CTD</t>
  </si>
  <si>
    <t>Mandya</t>
  </si>
  <si>
    <t>AGE DISTRIBUTION</t>
  </si>
  <si>
    <t>DVG</t>
  </si>
  <si>
    <t>Mysuru</t>
  </si>
  <si>
    <t>HSN</t>
  </si>
  <si>
    <t>Gender</t>
  </si>
  <si>
    <t>No. of PLVs</t>
  </si>
  <si>
    <t>% Share</t>
  </si>
  <si>
    <t>Ramanagara</t>
  </si>
  <si>
    <t>Age Group</t>
  </si>
  <si>
    <t>SMG</t>
  </si>
  <si>
    <t>Avg Age</t>
  </si>
  <si>
    <t>TMK</t>
  </si>
  <si>
    <t>Below 20</t>
  </si>
  <si>
    <t>UDP</t>
  </si>
  <si>
    <t>DISTRICT-WISE AGE GROUP BREAKDOWN</t>
  </si>
  <si>
    <t>BLR</t>
  </si>
  <si>
    <t>20–29</t>
  </si>
  <si>
    <t>District</t>
  </si>
  <si>
    <t>Total PLVs</t>
  </si>
  <si>
    <t>Median Age</t>
  </si>
  <si>
    <t>30–39</t>
  </si>
  <si>
    <t>40–49</t>
  </si>
  <si>
    <t>60+</t>
  </si>
  <si>
    <t>BLU</t>
  </si>
  <si>
    <t>Unknown</t>
  </si>
  <si>
    <t>CRN</t>
  </si>
  <si>
    <t>50–59</t>
  </si>
  <si>
    <t>KDG</t>
  </si>
  <si>
    <t>KLR</t>
  </si>
  <si>
    <t>EDUCATION</t>
  </si>
  <si>
    <t>MND</t>
  </si>
  <si>
    <t>PROFESSION / BACKGROUND</t>
  </si>
  <si>
    <t>MYS</t>
  </si>
  <si>
    <t>Education Category</t>
  </si>
  <si>
    <t>Profession Category</t>
  </si>
  <si>
    <t>RMN</t>
  </si>
  <si>
    <t>Graduate</t>
  </si>
  <si>
    <t>Anganwadi Worker / Teacher</t>
  </si>
  <si>
    <t>PUC / 12th</t>
  </si>
  <si>
    <t>Other / Not Specified</t>
  </si>
  <si>
    <t>SSLC (10th)</t>
  </si>
  <si>
    <t>Student</t>
  </si>
  <si>
    <t>Law (LLB/LLM)</t>
  </si>
  <si>
    <t>ASHA Worker</t>
  </si>
  <si>
    <t>Post Graduate</t>
  </si>
  <si>
    <t>Teacher / Lecturer / Educator</t>
  </si>
  <si>
    <t>Social Worker / NGO</t>
  </si>
  <si>
    <t>Social Work (BSW/MSW)</t>
  </si>
  <si>
    <t>Diploma / ITI / D.Ed</t>
  </si>
  <si>
    <t>Law Student (LLB)</t>
  </si>
  <si>
    <t>Below SSLC</t>
  </si>
  <si>
    <t>Business / Self-Employed</t>
  </si>
  <si>
    <t>Retired (Govt / Army / Other)</t>
  </si>
  <si>
    <t>Homemaker</t>
  </si>
  <si>
    <t>Legal Professional / Advocate</t>
  </si>
  <si>
    <t>Agriculture / Farmer</t>
  </si>
  <si>
    <t>Journalist / Media</t>
  </si>
  <si>
    <t>PLV / Community Worker</t>
  </si>
  <si>
    <t>Daily Wage / Labour</t>
  </si>
  <si>
    <t>Healthcare Worker</t>
  </si>
  <si>
    <t>Private Sector / Office Job</t>
  </si>
  <si>
    <t>Government Employee</t>
  </si>
  <si>
    <t>Unemployed / Job Seeking</t>
  </si>
  <si>
    <t>DISTRICT-WISE EDUCATION BREAKDOWN</t>
  </si>
  <si>
    <t>DISTRICT-WISE CONFIDENCE — Δ = Change</t>
  </si>
  <si>
    <t>Stakeholder Engagement BL</t>
  </si>
  <si>
    <t>Stakeholder Engagement EL</t>
  </si>
  <si>
    <t>Stakeholder Engagement Δ</t>
  </si>
  <si>
    <t>Finding Solutions for Community BL</t>
  </si>
  <si>
    <t>Finding Solutions for Community EL</t>
  </si>
  <si>
    <t>Finding Solutions for Community Δ</t>
  </si>
  <si>
    <t>Awareness of Legal Issues BL</t>
  </si>
  <si>
    <t>Awareness of Legal Issues EL</t>
  </si>
  <si>
    <t>Awareness of Legal Issues Δ</t>
  </si>
  <si>
    <t>Counselling Clients Non- Judgementally BL</t>
  </si>
  <si>
    <t>Counselling Clients Non- Judgementally EL</t>
  </si>
  <si>
    <t>Counselling Clients Non- Judgementally Δ</t>
  </si>
  <si>
    <t>Identifying Clients' Legal Issues BL</t>
  </si>
  <si>
    <t>Identifying Clients' Legal Issues EL</t>
  </si>
  <si>
    <t>Identifying Clients' Legal Issues Δ</t>
  </si>
  <si>
    <t>Legal &amp; Administrative Procedures BL</t>
  </si>
  <si>
    <t>Legal &amp; Administrative Procedures EL</t>
  </si>
  <si>
    <t>Legal &amp; Administrative Procedures 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</si>
</sst>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&quot;%&quot;"/>
  </numFmts>
  <fonts count="13">
    <font>
      <sz val="10.0"/>
      <color rgb="FF000000"/>
      <name val="Arial"/>
      <scheme val="minor"/>
    </font>
    <font>
      <b/>
      <sz val="11.0"/>
      <color rgb="FFFFFFFF"/>
      <name val="Arial"/>
    </font>
    <font/>
    <font>
      <sz val="11.0"/>
      <color theme="1"/>
      <name val="Calibri"/>
    </font>
    <font>
      <b/>
      <color rgb="FFFFFFFF"/>
      <name val="Arial"/>
    </font>
    <font>
      <color rgb="FF1A1A2E"/>
      <name val="Arial"/>
    </font>
    <font>
      <b/>
      <sz val="12.0"/>
      <color rgb="FFFFFFFF"/>
      <name val="Calibri"/>
    </font>
    <font>
      <b/>
      <color rgb="FF1A6B2A"/>
      <name val="Arial"/>
    </font>
    <font>
      <b/>
      <color rgb="FF8B1A1A"/>
      <name val="Arial"/>
    </font>
    <font>
      <b/>
      <color rgb="FF0D2B55"/>
      <name val="Arial"/>
    </font>
    <font>
      <b/>
      <color rgb="FF1A1A2E"/>
      <name val="Arial"/>
    </font>
    <font>
      <sz val="11.0"/>
      <color rgb="FF1A1A2E"/>
      <name val="Arial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D2B55"/>
        <bgColor rgb="FF0D2B55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C9830A"/>
        <bgColor rgb="FFC9830A"/>
      </patternFill>
    </fill>
    <fill>
      <patternFill patternType="solid">
        <fgColor rgb="FFF3F3F3"/>
        <bgColor rgb="FFF3F3F3"/>
      </patternFill>
    </fill>
    <fill>
      <patternFill patternType="solid">
        <fgColor rgb="FF006D77"/>
        <bgColor rgb="FF006D77"/>
      </patternFill>
    </fill>
  </fills>
  <borders count="5">
    <border/>
    <border>
      <left style="thin">
        <color rgb="FFDDDDDD"/>
      </left>
      <top style="thin">
        <color rgb="FFDDDDDD"/>
      </top>
      <bottom style="thin">
        <color rgb="FFDDDDDD"/>
      </bottom>
    </border>
    <border>
      <top style="thin">
        <color rgb="FFDDDDDD"/>
      </top>
      <bottom style="thin">
        <color rgb="FFDDDDDD"/>
      </bottom>
    </border>
    <border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2" fontId="4" numFmtId="0" xfId="0" applyAlignment="1" applyBorder="1" applyFont="1">
      <alignment horizontal="center" shrinkToFit="0" wrapText="1"/>
    </xf>
    <xf borderId="4" fillId="3" fontId="5" numFmtId="0" xfId="0" applyAlignment="1" applyBorder="1" applyFill="1" applyFont="1">
      <alignment shrinkToFit="0" wrapText="1"/>
    </xf>
    <xf borderId="0" fillId="0" fontId="3" numFmtId="0" xfId="0" applyAlignment="1" applyFont="1">
      <alignment vertical="top"/>
    </xf>
    <xf borderId="4" fillId="4" fontId="5" numFmtId="0" xfId="0" applyAlignment="1" applyBorder="1" applyFill="1" applyFont="1">
      <alignment shrinkToFit="0" wrapText="1"/>
    </xf>
    <xf borderId="0" fillId="2" fontId="6" numFmtId="0" xfId="0" applyAlignment="1" applyFont="1">
      <alignment horizontal="center" shrinkToFit="0" wrapText="1"/>
    </xf>
    <xf borderId="0" fillId="0" fontId="3" numFmtId="0" xfId="0" applyAlignment="1" applyFont="1">
      <alignment horizontal="right" vertical="bottom"/>
    </xf>
    <xf borderId="1" fillId="5" fontId="1" numFmtId="0" xfId="0" applyAlignment="1" applyBorder="1" applyFill="1" applyFont="1">
      <alignment horizontal="center" shrinkToFit="0" wrapText="1"/>
    </xf>
    <xf borderId="4" fillId="4" fontId="7" numFmtId="0" xfId="0" applyAlignment="1" applyBorder="1" applyFont="1">
      <alignment shrinkToFit="0" wrapText="1"/>
    </xf>
    <xf borderId="4" fillId="3" fontId="7" numFmtId="0" xfId="0" applyAlignment="1" applyBorder="1" applyFont="1">
      <alignment shrinkToFit="0" wrapText="1"/>
    </xf>
    <xf borderId="4" fillId="6" fontId="5" numFmtId="0" xfId="0" applyAlignment="1" applyBorder="1" applyFill="1" applyFont="1">
      <alignment shrinkToFit="0" wrapText="1"/>
    </xf>
    <xf borderId="4" fillId="0" fontId="5" numFmtId="0" xfId="0" applyAlignment="1" applyBorder="1" applyFont="1">
      <alignment shrinkToFit="0" wrapText="1"/>
    </xf>
    <xf borderId="2" fillId="0" fontId="3" numFmtId="0" xfId="0" applyBorder="1" applyFont="1"/>
    <xf borderId="3" fillId="0" fontId="3" numFmtId="0" xfId="0" applyBorder="1" applyFont="1"/>
    <xf borderId="1" fillId="7" fontId="1" numFmtId="0" xfId="0" applyAlignment="1" applyBorder="1" applyFill="1" applyFont="1">
      <alignment horizontal="center" shrinkToFit="0" wrapText="1"/>
    </xf>
    <xf borderId="4" fillId="7" fontId="4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4" fillId="3" fontId="5" numFmtId="164" xfId="0" applyAlignment="1" applyBorder="1" applyFont="1" applyNumberFormat="1">
      <alignment shrinkToFit="0" wrapText="1"/>
    </xf>
    <xf borderId="4" fillId="4" fontId="5" numFmtId="164" xfId="0" applyAlignment="1" applyBorder="1" applyFont="1" applyNumberFormat="1">
      <alignment shrinkToFit="0" wrapText="1"/>
    </xf>
    <xf borderId="4" fillId="3" fontId="8" numFmtId="0" xfId="0" applyAlignment="1" applyBorder="1" applyFont="1">
      <alignment shrinkToFit="0" wrapText="1"/>
    </xf>
    <xf borderId="4" fillId="4" fontId="8" numFmtId="0" xfId="0" applyAlignment="1" applyBorder="1" applyFont="1">
      <alignment shrinkToFit="0" wrapText="1"/>
    </xf>
    <xf borderId="4" fillId="5" fontId="9" numFmtId="0" xfId="0" applyAlignment="1" applyBorder="1" applyFont="1">
      <alignment horizontal="center" shrinkToFit="0" wrapText="1"/>
    </xf>
    <xf borderId="4" fillId="3" fontId="10" numFmtId="0" xfId="0" applyAlignment="1" applyBorder="1" applyFont="1">
      <alignment shrinkToFit="0" wrapText="1"/>
    </xf>
    <xf borderId="4" fillId="4" fontId="10" numFmtId="0" xfId="0" applyAlignment="1" applyBorder="1" applyFont="1">
      <alignment shrinkToFit="0" wrapText="1"/>
    </xf>
    <xf borderId="4" fillId="7" fontId="1" numFmtId="0" xfId="0" applyAlignment="1" applyBorder="1" applyFont="1">
      <alignment horizontal="center" shrinkToFit="0" vertical="bottom" wrapText="1"/>
    </xf>
    <xf borderId="4" fillId="4" fontId="11" numFmtId="0" xfId="0" applyAlignment="1" applyBorder="1" applyFont="1">
      <alignment shrinkToFit="0" vertical="bottom" wrapText="1"/>
    </xf>
    <xf borderId="4" fillId="4" fontId="11" numFmtId="0" xfId="0" applyAlignment="1" applyBorder="1" applyFont="1">
      <alignment horizontal="right" shrinkToFit="0" vertical="bottom" wrapText="1"/>
    </xf>
    <xf borderId="4" fillId="4" fontId="11" numFmtId="10" xfId="0" applyAlignment="1" applyBorder="1" applyFont="1" applyNumberFormat="1">
      <alignment horizontal="right" shrinkToFit="0" vertical="bottom" wrapText="1"/>
    </xf>
    <xf borderId="4" fillId="3" fontId="11" numFmtId="0" xfId="0" applyAlignment="1" applyBorder="1" applyFont="1">
      <alignment shrinkToFit="0" vertical="bottom" wrapText="1"/>
    </xf>
    <xf borderId="4" fillId="3" fontId="11" numFmtId="0" xfId="0" applyAlignment="1" applyBorder="1" applyFont="1">
      <alignment horizontal="right" shrinkToFit="0" vertical="bottom" wrapText="1"/>
    </xf>
    <xf borderId="4" fillId="0" fontId="12" numFmtId="10" xfId="0" applyAlignment="1" applyBorder="1" applyFont="1" applyNumberFormat="1">
      <alignment horizontal="right" shrinkToFit="0" vertical="bottom" wrapText="1"/>
    </xf>
    <xf borderId="4" fillId="0" fontId="11" numFmtId="0" xfId="0" applyAlignment="1" applyBorder="1" applyFont="1">
      <alignment horizontal="right" shrinkToFit="0" vertical="bottom" wrapText="1"/>
    </xf>
    <xf borderId="4" fillId="0" fontId="11" numFmtId="0" xfId="0" applyAlignment="1" applyBorder="1" applyFont="1">
      <alignment shrinkToFit="0" vertical="bottom" wrapText="1"/>
    </xf>
    <xf borderId="4" fillId="6" fontId="11" numFmtId="0" xfId="0" applyAlignment="1" applyBorder="1" applyFont="1">
      <alignment shrinkToFit="0" vertical="bottom" wrapText="1"/>
    </xf>
    <xf borderId="4" fillId="6" fontId="11" numFmtId="0" xfId="0" applyAlignment="1" applyBorder="1" applyFont="1">
      <alignment horizontal="right" shrinkToFit="0" vertical="bottom" wrapText="1"/>
    </xf>
    <xf borderId="4" fillId="0" fontId="11" numFmtId="10" xfId="0" applyAlignment="1" applyBorder="1" applyFont="1" applyNumberFormat="1">
      <alignment horizontal="right" shrinkToFit="0" vertical="bottom" wrapText="1"/>
    </xf>
    <xf borderId="4" fillId="6" fontId="10" numFmtId="0" xfId="0" applyAlignment="1" applyBorder="1" applyFont="1">
      <alignment shrinkToFit="0" wrapText="1"/>
    </xf>
    <xf borderId="4" fillId="0" fontId="10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4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3.xml"/><Relationship Id="rId12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1.xml"/><Relationship Id="rId10" Type="http://schemas.openxmlformats.org/officeDocument/2006/relationships/customXml" Target="../customXml/item1.xml"/><Relationship Id="rId4" Type="http://schemas.microsoft.com/office/2017/10/relationships/person" Target="persons/person.xml"/><Relationship Id="rId9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2"/>
      <c r="C1" s="2"/>
      <c r="D1" s="2"/>
      <c r="E1" s="2"/>
      <c r="F1" s="2"/>
      <c r="G1" s="2"/>
      <c r="H1" s="2"/>
      <c r="I1" s="16"/>
      <c r="J1" s="16"/>
      <c r="K1" s="16"/>
      <c r="L1" s="16"/>
      <c r="M1" s="16"/>
      <c r="N1" s="16"/>
      <c r="O1" s="17"/>
      <c r="P1" s="4"/>
      <c r="Q1" s="4"/>
      <c r="R1" s="4"/>
      <c r="S1" s="4"/>
      <c r="T1" s="4"/>
      <c r="U1" s="4"/>
      <c r="V1" s="4"/>
      <c r="W1" s="4"/>
      <c r="X1" s="4"/>
    </row>
    <row r="2">
      <c r="A2" s="1" t="s">
        <v>49</v>
      </c>
      <c r="B2" s="2"/>
      <c r="C2" s="3"/>
      <c r="D2" s="4"/>
      <c r="E2" s="18" t="s">
        <v>55</v>
      </c>
      <c r="F2" s="2"/>
      <c r="G2" s="2"/>
      <c r="H2" s="2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5" t="s">
        <v>59</v>
      </c>
      <c r="B3" s="5" t="s">
        <v>60</v>
      </c>
      <c r="C3" s="5" t="s">
        <v>61</v>
      </c>
      <c r="D3" s="4"/>
      <c r="E3" s="19" t="s">
        <v>63</v>
      </c>
      <c r="F3" s="19" t="s">
        <v>60</v>
      </c>
      <c r="G3" s="19" t="s">
        <v>65</v>
      </c>
      <c r="H3" s="19" t="s">
        <v>61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6" t="s">
        <v>5</v>
      </c>
      <c r="B4" s="6">
        <v>1720.0</v>
      </c>
      <c r="C4" s="21">
        <v>66.6</v>
      </c>
      <c r="D4" s="4"/>
      <c r="E4" s="6" t="s">
        <v>67</v>
      </c>
      <c r="F4" s="6">
        <v>142.0</v>
      </c>
      <c r="G4" s="6">
        <v>18.5</v>
      </c>
      <c r="H4" s="6">
        <v>5.5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8" t="s">
        <v>6</v>
      </c>
      <c r="B5" s="8">
        <v>840.0</v>
      </c>
      <c r="C5" s="22">
        <v>32.5</v>
      </c>
      <c r="D5" s="4"/>
      <c r="E5" s="8" t="s">
        <v>71</v>
      </c>
      <c r="F5" s="8">
        <v>576.0</v>
      </c>
      <c r="G5" s="8">
        <v>23.6</v>
      </c>
      <c r="H5" s="8">
        <v>22.3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6" t="s">
        <v>8</v>
      </c>
      <c r="B6" s="6">
        <v>11.0</v>
      </c>
      <c r="C6" s="21">
        <v>0.4</v>
      </c>
      <c r="D6" s="4"/>
      <c r="E6" s="6" t="s">
        <v>75</v>
      </c>
      <c r="F6" s="6">
        <v>764.0</v>
      </c>
      <c r="G6" s="6">
        <v>35.2</v>
      </c>
      <c r="H6" s="6">
        <v>29.6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8" t="s">
        <v>9</v>
      </c>
      <c r="B7" s="8">
        <v>6.0</v>
      </c>
      <c r="C7" s="22">
        <v>0.2</v>
      </c>
      <c r="D7" s="4"/>
      <c r="E7" s="8" t="s">
        <v>76</v>
      </c>
      <c r="F7" s="8">
        <v>673.0</v>
      </c>
      <c r="G7" s="8">
        <v>43.8</v>
      </c>
      <c r="H7" s="8">
        <v>26.1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6" t="s">
        <v>7</v>
      </c>
      <c r="B8" s="6">
        <v>4.0</v>
      </c>
      <c r="C8" s="21">
        <v>0.2</v>
      </c>
      <c r="D8" s="4"/>
      <c r="E8" s="6" t="s">
        <v>81</v>
      </c>
      <c r="F8" s="6">
        <v>308.0</v>
      </c>
      <c r="G8" s="6">
        <v>53.2</v>
      </c>
      <c r="H8" s="6">
        <v>11.9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4"/>
      <c r="B9" s="4"/>
      <c r="C9" s="4"/>
      <c r="D9" s="4"/>
      <c r="E9" s="8" t="s">
        <v>77</v>
      </c>
      <c r="F9" s="8">
        <v>100.0</v>
      </c>
      <c r="G9" s="8">
        <v>65.5</v>
      </c>
      <c r="H9" s="8">
        <v>3.9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1" t="s">
        <v>84</v>
      </c>
      <c r="B11" s="2"/>
      <c r="C11" s="3"/>
      <c r="D11" s="4"/>
      <c r="E11" s="11" t="s">
        <v>86</v>
      </c>
      <c r="F11" s="2"/>
      <c r="G11" s="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5" t="s">
        <v>88</v>
      </c>
      <c r="B12" s="5" t="s">
        <v>60</v>
      </c>
      <c r="C12" s="5" t="s">
        <v>61</v>
      </c>
      <c r="D12" s="4"/>
      <c r="E12" s="25" t="s">
        <v>89</v>
      </c>
      <c r="F12" s="25" t="s">
        <v>60</v>
      </c>
      <c r="G12" s="25" t="s">
        <v>61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6" t="s">
        <v>91</v>
      </c>
      <c r="B13" s="6">
        <v>650.0</v>
      </c>
      <c r="C13" s="21">
        <v>25.2</v>
      </c>
      <c r="D13" s="4"/>
      <c r="E13" s="6" t="s">
        <v>92</v>
      </c>
      <c r="F13" s="6">
        <v>627.0</v>
      </c>
      <c r="G13" s="21">
        <v>24.3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8" t="s">
        <v>93</v>
      </c>
      <c r="B14" s="8">
        <v>597.0</v>
      </c>
      <c r="C14" s="22">
        <v>23.1</v>
      </c>
      <c r="D14" s="4"/>
      <c r="E14" s="8" t="s">
        <v>94</v>
      </c>
      <c r="F14" s="8">
        <v>477.0</v>
      </c>
      <c r="G14" s="22">
        <v>18.5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6" t="s">
        <v>95</v>
      </c>
      <c r="B15" s="6">
        <v>477.0</v>
      </c>
      <c r="C15" s="21">
        <v>18.5</v>
      </c>
      <c r="D15" s="4"/>
      <c r="E15" s="6" t="s">
        <v>96</v>
      </c>
      <c r="F15" s="6">
        <v>376.0</v>
      </c>
      <c r="G15" s="21">
        <v>14.6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8" t="s">
        <v>97</v>
      </c>
      <c r="B16" s="8">
        <v>383.0</v>
      </c>
      <c r="C16" s="22">
        <v>14.8</v>
      </c>
      <c r="D16" s="4"/>
      <c r="E16" s="8" t="s">
        <v>98</v>
      </c>
      <c r="F16" s="8">
        <v>237.0</v>
      </c>
      <c r="G16" s="22">
        <v>9.2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6" t="s">
        <v>99</v>
      </c>
      <c r="B17" s="6">
        <v>171.0</v>
      </c>
      <c r="C17" s="21">
        <v>6.6</v>
      </c>
      <c r="D17" s="4"/>
      <c r="E17" s="6" t="s">
        <v>100</v>
      </c>
      <c r="F17" s="6">
        <v>202.0</v>
      </c>
      <c r="G17" s="21">
        <v>7.8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8" t="s">
        <v>9</v>
      </c>
      <c r="B18" s="8">
        <v>98.0</v>
      </c>
      <c r="C18" s="22">
        <v>3.8</v>
      </c>
      <c r="D18" s="4"/>
      <c r="E18" s="8" t="s">
        <v>101</v>
      </c>
      <c r="F18" s="8">
        <v>180.0</v>
      </c>
      <c r="G18" s="22">
        <v>7.0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6" t="s">
        <v>102</v>
      </c>
      <c r="B19" s="6">
        <v>91.0</v>
      </c>
      <c r="C19" s="21">
        <v>3.5</v>
      </c>
      <c r="D19" s="4"/>
      <c r="E19" s="6" t="s">
        <v>9</v>
      </c>
      <c r="F19" s="6">
        <v>95.0</v>
      </c>
      <c r="G19" s="21">
        <v>3.7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8" t="s">
        <v>103</v>
      </c>
      <c r="B20" s="8">
        <v>89.0</v>
      </c>
      <c r="C20" s="22">
        <v>3.4</v>
      </c>
      <c r="D20" s="4"/>
      <c r="E20" s="8" t="s">
        <v>104</v>
      </c>
      <c r="F20" s="8">
        <v>87.0</v>
      </c>
      <c r="G20" s="22">
        <v>3.4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6" t="s">
        <v>105</v>
      </c>
      <c r="B21" s="6">
        <v>25.0</v>
      </c>
      <c r="C21" s="21">
        <v>1.0</v>
      </c>
      <c r="D21" s="4"/>
      <c r="E21" s="6" t="s">
        <v>106</v>
      </c>
      <c r="F21" s="6">
        <v>51.0</v>
      </c>
      <c r="G21" s="21">
        <v>2.0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4"/>
      <c r="B22" s="4"/>
      <c r="C22" s="4"/>
      <c r="D22" s="4"/>
      <c r="E22" s="8" t="s">
        <v>107</v>
      </c>
      <c r="F22" s="8">
        <v>47.0</v>
      </c>
      <c r="G22" s="22">
        <v>1.8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4"/>
      <c r="B23" s="4"/>
      <c r="C23" s="4"/>
      <c r="D23" s="4"/>
      <c r="E23" s="6" t="s">
        <v>108</v>
      </c>
      <c r="F23" s="6">
        <v>43.0</v>
      </c>
      <c r="G23" s="21">
        <v>1.7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4"/>
      <c r="B24" s="4"/>
      <c r="C24" s="4"/>
      <c r="D24" s="4"/>
      <c r="E24" s="8" t="s">
        <v>109</v>
      </c>
      <c r="F24" s="8">
        <v>30.0</v>
      </c>
      <c r="G24" s="22">
        <v>1.2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4"/>
      <c r="B25" s="4"/>
      <c r="C25" s="4"/>
      <c r="D25" s="4"/>
      <c r="E25" s="6" t="s">
        <v>110</v>
      </c>
      <c r="F25" s="6">
        <v>29.0</v>
      </c>
      <c r="G25" s="21">
        <v>1.1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4"/>
      <c r="B26" s="4"/>
      <c r="C26" s="4"/>
      <c r="D26" s="4"/>
      <c r="E26" s="8" t="s">
        <v>111</v>
      </c>
      <c r="F26" s="8">
        <v>21.0</v>
      </c>
      <c r="G26" s="22">
        <v>0.8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4"/>
      <c r="B27" s="4"/>
      <c r="C27" s="4"/>
      <c r="D27" s="4"/>
      <c r="E27" s="6" t="s">
        <v>112</v>
      </c>
      <c r="F27" s="6">
        <v>20.0</v>
      </c>
      <c r="G27" s="21">
        <v>0.8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4"/>
      <c r="B28" s="4"/>
      <c r="C28" s="4"/>
      <c r="D28" s="4"/>
      <c r="E28" s="8" t="s">
        <v>113</v>
      </c>
      <c r="F28" s="8">
        <v>18.0</v>
      </c>
      <c r="G28" s="22">
        <v>0.7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4"/>
      <c r="B29" s="4"/>
      <c r="C29" s="4"/>
      <c r="D29" s="4"/>
      <c r="E29" s="6" t="s">
        <v>114</v>
      </c>
      <c r="F29" s="6">
        <v>16.0</v>
      </c>
      <c r="G29" s="21">
        <v>0.6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4"/>
      <c r="B30" s="4"/>
      <c r="C30" s="4"/>
      <c r="D30" s="4"/>
      <c r="E30" s="8" t="s">
        <v>115</v>
      </c>
      <c r="F30" s="8">
        <v>15.0</v>
      </c>
      <c r="G30" s="22">
        <v>0.6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4"/>
      <c r="B31" s="4"/>
      <c r="C31" s="4"/>
      <c r="D31" s="4"/>
      <c r="E31" s="6" t="s">
        <v>116</v>
      </c>
      <c r="F31" s="6">
        <v>6.0</v>
      </c>
      <c r="G31" s="21">
        <v>0.2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4"/>
      <c r="B32" s="4"/>
      <c r="C32" s="4"/>
      <c r="D32" s="4"/>
      <c r="E32" s="8" t="s">
        <v>117</v>
      </c>
      <c r="F32" s="8">
        <v>4.0</v>
      </c>
      <c r="G32" s="22">
        <v>0.2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</sheetData>
  <mergeCells count="5">
    <mergeCell ref="A1:H1"/>
    <mergeCell ref="A2:C2"/>
    <mergeCell ref="E2:H2"/>
    <mergeCell ref="A11:C11"/>
    <mergeCell ref="E11:G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11</v>
      </c>
      <c r="B3" s="6">
        <v>194.0</v>
      </c>
      <c r="C3" s="6">
        <v>150.0</v>
      </c>
      <c r="D3" s="6">
        <v>39.0</v>
      </c>
      <c r="E3" s="6">
        <v>1.0</v>
      </c>
      <c r="F3" s="6">
        <v>3.0</v>
      </c>
      <c r="G3" s="6">
        <v>1.0</v>
      </c>
      <c r="H3" s="6">
        <v>77.3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12</v>
      </c>
      <c r="B4" s="8">
        <v>101.0</v>
      </c>
      <c r="C4" s="8">
        <v>56.0</v>
      </c>
      <c r="D4" s="8">
        <v>45.0</v>
      </c>
      <c r="E4" s="8">
        <v>0.0</v>
      </c>
      <c r="F4" s="8">
        <v>0.0</v>
      </c>
      <c r="G4" s="8">
        <v>0.0</v>
      </c>
      <c r="H4" s="8">
        <v>55.4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19</v>
      </c>
      <c r="B5" s="6">
        <v>97.0</v>
      </c>
      <c r="C5" s="6">
        <v>79.0</v>
      </c>
      <c r="D5" s="6">
        <v>18.0</v>
      </c>
      <c r="E5" s="6">
        <v>0.0</v>
      </c>
      <c r="F5" s="6">
        <v>0.0</v>
      </c>
      <c r="G5" s="6">
        <v>0.0</v>
      </c>
      <c r="H5" s="6">
        <v>81.4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 t="s">
        <v>23</v>
      </c>
      <c r="B6" s="8">
        <v>150.0</v>
      </c>
      <c r="C6" s="8">
        <v>113.0</v>
      </c>
      <c r="D6" s="8">
        <v>36.0</v>
      </c>
      <c r="E6" s="8">
        <v>0.0</v>
      </c>
      <c r="F6" s="8">
        <v>1.0</v>
      </c>
      <c r="G6" s="8">
        <v>0.0</v>
      </c>
      <c r="H6" s="8">
        <v>75.3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 t="s">
        <v>25</v>
      </c>
      <c r="B7" s="6">
        <v>112.0</v>
      </c>
      <c r="C7" s="6">
        <v>59.0</v>
      </c>
      <c r="D7" s="6">
        <v>53.0</v>
      </c>
      <c r="E7" s="6">
        <v>0.0</v>
      </c>
      <c r="F7" s="6">
        <v>0.0</v>
      </c>
      <c r="G7" s="6">
        <v>0.0</v>
      </c>
      <c r="H7" s="6">
        <v>52.7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 t="s">
        <v>26</v>
      </c>
      <c r="B8" s="8">
        <v>70.0</v>
      </c>
      <c r="C8" s="8">
        <v>31.0</v>
      </c>
      <c r="D8" s="8">
        <v>38.0</v>
      </c>
      <c r="E8" s="8">
        <v>0.0</v>
      </c>
      <c r="F8" s="8">
        <v>1.0</v>
      </c>
      <c r="G8" s="8">
        <v>0.0</v>
      </c>
      <c r="H8" s="8">
        <v>44.3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 t="s">
        <v>28</v>
      </c>
      <c r="B9" s="6">
        <v>152.0</v>
      </c>
      <c r="C9" s="6">
        <v>116.0</v>
      </c>
      <c r="D9" s="6">
        <v>36.0</v>
      </c>
      <c r="E9" s="6">
        <v>0.0</v>
      </c>
      <c r="F9" s="6">
        <v>0.0</v>
      </c>
      <c r="G9" s="6">
        <v>0.0</v>
      </c>
      <c r="H9" s="6">
        <v>76.3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 t="s">
        <v>29</v>
      </c>
      <c r="B10" s="8">
        <v>100.0</v>
      </c>
      <c r="C10" s="8">
        <v>21.0</v>
      </c>
      <c r="D10" s="8">
        <v>76.0</v>
      </c>
      <c r="E10" s="8">
        <v>1.0</v>
      </c>
      <c r="F10" s="8">
        <v>1.0</v>
      </c>
      <c r="G10" s="8">
        <v>1.0</v>
      </c>
      <c r="H10" s="8">
        <v>21.0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 t="s">
        <v>30</v>
      </c>
      <c r="B11" s="8">
        <v>116.0</v>
      </c>
      <c r="C11" s="8">
        <v>76.0</v>
      </c>
      <c r="D11" s="8">
        <v>40.0</v>
      </c>
      <c r="E11" s="8">
        <v>0.0</v>
      </c>
      <c r="F11" s="8">
        <v>0.0</v>
      </c>
      <c r="G11" s="8">
        <v>0.0</v>
      </c>
      <c r="H11" s="8">
        <v>65.5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6" t="s">
        <v>32</v>
      </c>
      <c r="B12" s="6">
        <v>175.0</v>
      </c>
      <c r="C12" s="6">
        <v>157.0</v>
      </c>
      <c r="D12" s="6">
        <v>18.0</v>
      </c>
      <c r="E12" s="6">
        <v>0.0</v>
      </c>
      <c r="F12" s="6">
        <v>0.0</v>
      </c>
      <c r="G12" s="6">
        <v>0.0</v>
      </c>
      <c r="H12" s="6">
        <v>89.7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33</v>
      </c>
      <c r="B13" s="8">
        <v>38.0</v>
      </c>
      <c r="C13" s="8">
        <v>22.0</v>
      </c>
      <c r="D13" s="8">
        <v>16.0</v>
      </c>
      <c r="E13" s="8">
        <v>0.0</v>
      </c>
      <c r="F13" s="8">
        <v>0.0</v>
      </c>
      <c r="G13" s="8">
        <v>0.0</v>
      </c>
      <c r="H13" s="8">
        <v>57.9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6" t="s">
        <v>35</v>
      </c>
      <c r="B14" s="6">
        <v>159.0</v>
      </c>
      <c r="C14" s="6">
        <v>89.0</v>
      </c>
      <c r="D14" s="6">
        <v>69.0</v>
      </c>
      <c r="E14" s="6">
        <v>1.0</v>
      </c>
      <c r="F14" s="6">
        <v>0.0</v>
      </c>
      <c r="G14" s="6">
        <v>0.0</v>
      </c>
      <c r="H14" s="6">
        <v>56.0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37</v>
      </c>
      <c r="B15" s="8">
        <v>128.0</v>
      </c>
      <c r="C15" s="8">
        <v>86.0</v>
      </c>
      <c r="D15" s="8">
        <v>40.0</v>
      </c>
      <c r="E15" s="8">
        <v>1.0</v>
      </c>
      <c r="F15" s="8">
        <v>0.0</v>
      </c>
      <c r="G15" s="8">
        <v>1.0</v>
      </c>
      <c r="H15" s="8">
        <v>67.2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4" t="s">
        <v>38</v>
      </c>
      <c r="B16" s="14">
        <v>132.0</v>
      </c>
      <c r="C16" s="14">
        <v>71.0</v>
      </c>
      <c r="D16" s="14">
        <v>57.0</v>
      </c>
      <c r="E16" s="14">
        <v>0.0</v>
      </c>
      <c r="F16" s="14">
        <v>2.0</v>
      </c>
      <c r="G16" s="14">
        <v>2.0</v>
      </c>
      <c r="H16" s="14">
        <v>53.8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5" t="s">
        <v>40</v>
      </c>
      <c r="B17" s="15">
        <v>167.0</v>
      </c>
      <c r="C17" s="15">
        <v>111.0</v>
      </c>
      <c r="D17" s="15">
        <v>55.0</v>
      </c>
      <c r="E17" s="15">
        <v>0.0</v>
      </c>
      <c r="F17" s="15">
        <v>1.0</v>
      </c>
      <c r="G17" s="15">
        <v>0.0</v>
      </c>
      <c r="H17" s="15">
        <v>66.5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4" t="s">
        <v>42</v>
      </c>
      <c r="B18" s="14">
        <v>48.0</v>
      </c>
      <c r="C18" s="14">
        <v>34.0</v>
      </c>
      <c r="D18" s="14">
        <v>13.0</v>
      </c>
      <c r="E18" s="14">
        <v>0.0</v>
      </c>
      <c r="F18" s="14">
        <v>1.0</v>
      </c>
      <c r="G18" s="14">
        <v>0.0</v>
      </c>
      <c r="H18" s="14">
        <v>70.8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 t="s">
        <v>44</v>
      </c>
      <c r="B19" s="8">
        <v>15.0</v>
      </c>
      <c r="C19" s="8">
        <v>6.0</v>
      </c>
      <c r="D19" s="8">
        <v>9.0</v>
      </c>
      <c r="E19" s="8">
        <v>0.0</v>
      </c>
      <c r="F19" s="8">
        <v>0.0</v>
      </c>
      <c r="G19" s="8">
        <v>0.0</v>
      </c>
      <c r="H19" s="8">
        <v>40.0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6" t="s">
        <v>46</v>
      </c>
      <c r="B20" s="6">
        <v>35.0</v>
      </c>
      <c r="C20" s="6">
        <v>21.0</v>
      </c>
      <c r="D20" s="6">
        <v>14.0</v>
      </c>
      <c r="E20" s="6">
        <v>0.0</v>
      </c>
      <c r="F20" s="6">
        <v>0.0</v>
      </c>
      <c r="G20" s="6">
        <v>0.0</v>
      </c>
      <c r="H20" s="6">
        <v>60.0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5" t="s">
        <v>48</v>
      </c>
      <c r="B21" s="15">
        <v>55.0</v>
      </c>
      <c r="C21" s="15">
        <v>35.0</v>
      </c>
      <c r="D21" s="15">
        <v>20.0</v>
      </c>
      <c r="E21" s="15">
        <v>0.0</v>
      </c>
      <c r="F21" s="15">
        <v>0.0</v>
      </c>
      <c r="G21" s="15">
        <v>0.0</v>
      </c>
      <c r="H21" s="15">
        <v>63.6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6" t="s">
        <v>51</v>
      </c>
      <c r="B22" s="6">
        <v>52.0</v>
      </c>
      <c r="C22" s="6">
        <v>47.0</v>
      </c>
      <c r="D22" s="6">
        <v>5.0</v>
      </c>
      <c r="E22" s="6">
        <v>0.0</v>
      </c>
      <c r="F22" s="6">
        <v>0.0</v>
      </c>
      <c r="G22" s="6">
        <v>0.0</v>
      </c>
      <c r="H22" s="6">
        <v>90.4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8" t="s">
        <v>52</v>
      </c>
      <c r="B23" s="8">
        <v>75.0</v>
      </c>
      <c r="C23" s="8">
        <v>37.0</v>
      </c>
      <c r="D23" s="8">
        <v>38.0</v>
      </c>
      <c r="E23" s="8">
        <v>0.0</v>
      </c>
      <c r="F23" s="8">
        <v>0.0</v>
      </c>
      <c r="G23" s="8">
        <v>0.0</v>
      </c>
      <c r="H23" s="8">
        <v>49.3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4" t="s">
        <v>54</v>
      </c>
      <c r="B24" s="14">
        <v>95.0</v>
      </c>
      <c r="C24" s="14">
        <v>84.0</v>
      </c>
      <c r="D24" s="14">
        <v>11.0</v>
      </c>
      <c r="E24" s="14">
        <v>0.0</v>
      </c>
      <c r="F24" s="14">
        <v>0.0</v>
      </c>
      <c r="G24" s="14">
        <v>0.0</v>
      </c>
      <c r="H24" s="14">
        <v>88.4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5" t="s">
        <v>57</v>
      </c>
      <c r="B25" s="15">
        <v>228.0</v>
      </c>
      <c r="C25" s="15">
        <v>155.0</v>
      </c>
      <c r="D25" s="15">
        <v>72.0</v>
      </c>
      <c r="E25" s="15">
        <v>0.0</v>
      </c>
      <c r="F25" s="15">
        <v>1.0</v>
      </c>
      <c r="G25" s="15">
        <v>0.0</v>
      </c>
      <c r="H25" s="15">
        <v>68.0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6" t="s">
        <v>62</v>
      </c>
      <c r="B26" s="6">
        <v>87.0</v>
      </c>
      <c r="C26" s="6">
        <v>64.0</v>
      </c>
      <c r="D26" s="6">
        <v>22.0</v>
      </c>
      <c r="E26" s="6">
        <v>0.0</v>
      </c>
      <c r="F26" s="6">
        <v>0.0</v>
      </c>
      <c r="G26" s="6">
        <v>1.0</v>
      </c>
      <c r="H26" s="6">
        <v>73.6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8" t="s">
        <v>69</v>
      </c>
      <c r="B28" s="2"/>
      <c r="C28" s="2"/>
      <c r="D28" s="2"/>
      <c r="E28" s="2"/>
      <c r="F28" s="2"/>
      <c r="G28" s="2"/>
      <c r="H28" s="2"/>
      <c r="I28" s="2"/>
      <c r="J28" s="3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9" t="s">
        <v>72</v>
      </c>
      <c r="B29" s="19" t="s">
        <v>73</v>
      </c>
      <c r="C29" s="19" t="s">
        <v>65</v>
      </c>
      <c r="D29" s="19" t="s">
        <v>74</v>
      </c>
      <c r="E29" s="19" t="s">
        <v>67</v>
      </c>
      <c r="F29" s="19" t="s">
        <v>71</v>
      </c>
      <c r="G29" s="19" t="s">
        <v>75</v>
      </c>
      <c r="H29" s="19" t="s">
        <v>76</v>
      </c>
      <c r="I29" s="19" t="s">
        <v>77</v>
      </c>
      <c r="J29" s="19" t="s">
        <v>79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6" t="s">
        <v>11</v>
      </c>
      <c r="B30" s="6">
        <v>193.0</v>
      </c>
      <c r="C30" s="6">
        <v>41.7</v>
      </c>
      <c r="D30" s="6">
        <v>40.0</v>
      </c>
      <c r="E30" s="6">
        <v>3.0</v>
      </c>
      <c r="F30" s="6">
        <v>18.0</v>
      </c>
      <c r="G30" s="6">
        <v>56.0</v>
      </c>
      <c r="H30" s="6">
        <v>73.0</v>
      </c>
      <c r="I30" s="6">
        <v>7.0</v>
      </c>
      <c r="J30" s="6">
        <v>1.0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8" t="s">
        <v>12</v>
      </c>
      <c r="B31" s="8">
        <v>97.0</v>
      </c>
      <c r="C31" s="8">
        <v>38.6</v>
      </c>
      <c r="D31" s="8">
        <v>38.0</v>
      </c>
      <c r="E31" s="8">
        <v>3.0</v>
      </c>
      <c r="F31" s="8">
        <v>12.0</v>
      </c>
      <c r="G31" s="8">
        <v>39.0</v>
      </c>
      <c r="H31" s="8">
        <v>29.0</v>
      </c>
      <c r="I31" s="8">
        <v>3.0</v>
      </c>
      <c r="J31" s="8">
        <v>4.0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6" t="s">
        <v>19</v>
      </c>
      <c r="B32" s="6">
        <v>96.0</v>
      </c>
      <c r="C32" s="6">
        <v>39.1</v>
      </c>
      <c r="D32" s="6">
        <v>41.0</v>
      </c>
      <c r="E32" s="6">
        <v>8.0</v>
      </c>
      <c r="F32" s="6">
        <v>14.0</v>
      </c>
      <c r="G32" s="6">
        <v>21.0</v>
      </c>
      <c r="H32" s="6">
        <v>35.0</v>
      </c>
      <c r="I32" s="6">
        <v>3.0</v>
      </c>
      <c r="J32" s="6">
        <v>1.0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8" t="s">
        <v>23</v>
      </c>
      <c r="B33" s="8">
        <v>150.0</v>
      </c>
      <c r="C33" s="8">
        <v>38.1</v>
      </c>
      <c r="D33" s="8">
        <v>37.0</v>
      </c>
      <c r="E33" s="8">
        <v>0.0</v>
      </c>
      <c r="F33" s="8">
        <v>24.0</v>
      </c>
      <c r="G33" s="8">
        <v>69.0</v>
      </c>
      <c r="H33" s="8">
        <v>38.0</v>
      </c>
      <c r="I33" s="8">
        <v>1.0</v>
      </c>
      <c r="J33" s="8">
        <v>0.0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6" t="s">
        <v>25</v>
      </c>
      <c r="B34" s="6">
        <v>110.0</v>
      </c>
      <c r="C34" s="6">
        <v>37.1</v>
      </c>
      <c r="D34" s="6">
        <v>35.5</v>
      </c>
      <c r="E34" s="6">
        <v>12.0</v>
      </c>
      <c r="F34" s="6">
        <v>23.0</v>
      </c>
      <c r="G34" s="6">
        <v>38.0</v>
      </c>
      <c r="H34" s="6">
        <v>17.0</v>
      </c>
      <c r="I34" s="6">
        <v>10.0</v>
      </c>
      <c r="J34" s="6">
        <v>2.0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8" t="s">
        <v>26</v>
      </c>
      <c r="B35" s="8">
        <v>70.0</v>
      </c>
      <c r="C35" s="8">
        <v>35.2</v>
      </c>
      <c r="D35" s="8">
        <v>35.0</v>
      </c>
      <c r="E35" s="8">
        <v>1.0</v>
      </c>
      <c r="F35" s="8">
        <v>26.0</v>
      </c>
      <c r="G35" s="8">
        <v>26.0</v>
      </c>
      <c r="H35" s="8">
        <v>7.0</v>
      </c>
      <c r="I35" s="8">
        <v>1.0</v>
      </c>
      <c r="J35" s="8">
        <v>0.0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6" t="s">
        <v>28</v>
      </c>
      <c r="B36" s="6">
        <v>152.0</v>
      </c>
      <c r="C36" s="6">
        <v>35.3</v>
      </c>
      <c r="D36" s="6">
        <v>35.5</v>
      </c>
      <c r="E36" s="6">
        <v>5.0</v>
      </c>
      <c r="F36" s="6">
        <v>41.0</v>
      </c>
      <c r="G36" s="6">
        <v>51.0</v>
      </c>
      <c r="H36" s="6">
        <v>43.0</v>
      </c>
      <c r="I36" s="6">
        <v>2.0</v>
      </c>
      <c r="J36" s="6">
        <v>0.0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8" t="s">
        <v>29</v>
      </c>
      <c r="B37" s="8">
        <v>100.0</v>
      </c>
      <c r="C37" s="8">
        <v>33.3</v>
      </c>
      <c r="D37" s="8">
        <v>32.0</v>
      </c>
      <c r="E37" s="8">
        <v>3.0</v>
      </c>
      <c r="F37" s="8">
        <v>34.0</v>
      </c>
      <c r="G37" s="8">
        <v>47.0</v>
      </c>
      <c r="H37" s="8">
        <v>6.0</v>
      </c>
      <c r="I37" s="8">
        <v>5.0</v>
      </c>
      <c r="J37" s="8">
        <v>0.0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8" t="s">
        <v>30</v>
      </c>
      <c r="B38" s="8">
        <v>116.0</v>
      </c>
      <c r="C38" s="8">
        <v>34.2</v>
      </c>
      <c r="D38" s="8">
        <v>34.5</v>
      </c>
      <c r="E38" s="8">
        <v>8.0</v>
      </c>
      <c r="F38" s="8">
        <v>40.0</v>
      </c>
      <c r="G38" s="8">
        <v>27.0</v>
      </c>
      <c r="H38" s="8">
        <v>25.0</v>
      </c>
      <c r="I38" s="8">
        <v>2.0</v>
      </c>
      <c r="J38" s="8">
        <v>0.0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6" t="s">
        <v>32</v>
      </c>
      <c r="B39" s="6">
        <v>172.0</v>
      </c>
      <c r="C39" s="6">
        <v>37.4</v>
      </c>
      <c r="D39" s="6">
        <v>39.0</v>
      </c>
      <c r="E39" s="6">
        <v>12.0</v>
      </c>
      <c r="F39" s="6">
        <v>36.0</v>
      </c>
      <c r="G39" s="6">
        <v>40.0</v>
      </c>
      <c r="H39" s="6">
        <v>61.0</v>
      </c>
      <c r="I39" s="6">
        <v>3.0</v>
      </c>
      <c r="J39" s="6">
        <v>3.0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8" t="s">
        <v>33</v>
      </c>
      <c r="B40" s="8">
        <v>38.0</v>
      </c>
      <c r="C40" s="8">
        <v>38.1</v>
      </c>
      <c r="D40" s="8">
        <v>36.0</v>
      </c>
      <c r="E40" s="8">
        <v>3.0</v>
      </c>
      <c r="F40" s="8">
        <v>11.0</v>
      </c>
      <c r="G40" s="8">
        <v>9.0</v>
      </c>
      <c r="H40" s="8">
        <v>7.0</v>
      </c>
      <c r="I40" s="8">
        <v>7.0</v>
      </c>
      <c r="J40" s="8">
        <v>0.0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6" t="s">
        <v>35</v>
      </c>
      <c r="B41" s="6">
        <v>158.0</v>
      </c>
      <c r="C41" s="6">
        <v>35.1</v>
      </c>
      <c r="D41" s="6">
        <v>35.5</v>
      </c>
      <c r="E41" s="6">
        <v>1.0</v>
      </c>
      <c r="F41" s="6">
        <v>52.0</v>
      </c>
      <c r="G41" s="6">
        <v>49.0</v>
      </c>
      <c r="H41" s="6">
        <v>44.0</v>
      </c>
      <c r="I41" s="6">
        <v>3.0</v>
      </c>
      <c r="J41" s="6">
        <v>1.0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8" t="s">
        <v>37</v>
      </c>
      <c r="B42" s="8">
        <v>128.0</v>
      </c>
      <c r="C42" s="8">
        <v>42.8</v>
      </c>
      <c r="D42" s="8">
        <v>42.0</v>
      </c>
      <c r="E42" s="8">
        <v>0.0</v>
      </c>
      <c r="F42" s="8">
        <v>9.0</v>
      </c>
      <c r="G42" s="8">
        <v>40.0</v>
      </c>
      <c r="H42" s="8">
        <v>48.0</v>
      </c>
      <c r="I42" s="8">
        <v>3.0</v>
      </c>
      <c r="J42" s="8">
        <v>0.0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4" t="s">
        <v>38</v>
      </c>
      <c r="B43" s="14">
        <v>130.0</v>
      </c>
      <c r="C43" s="14">
        <v>34.7</v>
      </c>
      <c r="D43" s="14">
        <v>35.0</v>
      </c>
      <c r="E43" s="14">
        <v>20.0</v>
      </c>
      <c r="F43" s="14">
        <v>35.0</v>
      </c>
      <c r="G43" s="14">
        <v>29.0</v>
      </c>
      <c r="H43" s="14">
        <v>24.0</v>
      </c>
      <c r="I43" s="14">
        <v>3.0</v>
      </c>
      <c r="J43" s="14">
        <v>2.0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5" t="s">
        <v>40</v>
      </c>
      <c r="B44" s="15">
        <v>166.0</v>
      </c>
      <c r="C44" s="15">
        <v>34.2</v>
      </c>
      <c r="D44" s="15">
        <v>33.5</v>
      </c>
      <c r="E44" s="15">
        <v>19.0</v>
      </c>
      <c r="F44" s="15">
        <v>44.0</v>
      </c>
      <c r="G44" s="15">
        <v>51.0</v>
      </c>
      <c r="H44" s="15">
        <v>32.0</v>
      </c>
      <c r="I44" s="15">
        <v>8.0</v>
      </c>
      <c r="J44" s="15">
        <v>1.0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4" t="s">
        <v>42</v>
      </c>
      <c r="B45" s="14">
        <v>48.0</v>
      </c>
      <c r="C45" s="14">
        <v>34.3</v>
      </c>
      <c r="D45" s="14">
        <v>23.5</v>
      </c>
      <c r="E45" s="14">
        <v>0.0</v>
      </c>
      <c r="F45" s="14">
        <v>28.0</v>
      </c>
      <c r="G45" s="14">
        <v>4.0</v>
      </c>
      <c r="H45" s="14">
        <v>7.0</v>
      </c>
      <c r="I45" s="14">
        <v>6.0</v>
      </c>
      <c r="J45" s="14">
        <v>0.0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8" t="s">
        <v>44</v>
      </c>
      <c r="B46" s="8">
        <v>15.0</v>
      </c>
      <c r="C46" s="8">
        <v>30.3</v>
      </c>
      <c r="D46" s="8">
        <v>25.0</v>
      </c>
      <c r="E46" s="8">
        <v>1.0</v>
      </c>
      <c r="F46" s="8">
        <v>8.0</v>
      </c>
      <c r="G46" s="8">
        <v>3.0</v>
      </c>
      <c r="H46" s="8">
        <v>2.0</v>
      </c>
      <c r="I46" s="8">
        <v>0.0</v>
      </c>
      <c r="J46" s="8">
        <v>0.0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6" t="s">
        <v>46</v>
      </c>
      <c r="B47" s="6">
        <v>35.0</v>
      </c>
      <c r="C47" s="6">
        <v>39.7</v>
      </c>
      <c r="D47" s="6">
        <v>40.0</v>
      </c>
      <c r="E47" s="6">
        <v>0.0</v>
      </c>
      <c r="F47" s="6">
        <v>8.0</v>
      </c>
      <c r="G47" s="6">
        <v>9.0</v>
      </c>
      <c r="H47" s="6">
        <v>11.0</v>
      </c>
      <c r="I47" s="6">
        <v>3.0</v>
      </c>
      <c r="J47" s="6">
        <v>0.0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5" t="s">
        <v>48</v>
      </c>
      <c r="B48" s="15">
        <v>55.0</v>
      </c>
      <c r="C48" s="15">
        <v>38.9</v>
      </c>
      <c r="D48" s="15">
        <v>39.0</v>
      </c>
      <c r="E48" s="15">
        <v>1.0</v>
      </c>
      <c r="F48" s="15">
        <v>7.0</v>
      </c>
      <c r="G48" s="15">
        <v>21.0</v>
      </c>
      <c r="H48" s="15">
        <v>16.0</v>
      </c>
      <c r="I48" s="15">
        <v>1.0</v>
      </c>
      <c r="J48" s="15">
        <v>0.0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6" t="s">
        <v>51</v>
      </c>
      <c r="B49" s="6">
        <v>52.0</v>
      </c>
      <c r="C49" s="6">
        <v>44.8</v>
      </c>
      <c r="D49" s="6">
        <v>45.0</v>
      </c>
      <c r="E49" s="6">
        <v>0.0</v>
      </c>
      <c r="F49" s="6">
        <v>3.0</v>
      </c>
      <c r="G49" s="6">
        <v>10.0</v>
      </c>
      <c r="H49" s="6">
        <v>24.0</v>
      </c>
      <c r="I49" s="6">
        <v>1.0</v>
      </c>
      <c r="J49" s="6">
        <v>0.0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8" t="s">
        <v>52</v>
      </c>
      <c r="B50" s="8">
        <v>75.0</v>
      </c>
      <c r="C50" s="8">
        <v>39.5</v>
      </c>
      <c r="D50" s="8">
        <v>38.0</v>
      </c>
      <c r="E50" s="8">
        <v>4.0</v>
      </c>
      <c r="F50" s="8">
        <v>14.0</v>
      </c>
      <c r="G50" s="8">
        <v>22.0</v>
      </c>
      <c r="H50" s="8">
        <v>17.0</v>
      </c>
      <c r="I50" s="8">
        <v>7.0</v>
      </c>
      <c r="J50" s="8">
        <v>0.0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4" t="s">
        <v>54</v>
      </c>
      <c r="B51" s="14">
        <v>95.0</v>
      </c>
      <c r="C51" s="14">
        <v>41.2</v>
      </c>
      <c r="D51" s="14">
        <v>42.0</v>
      </c>
      <c r="E51" s="14">
        <v>5.0</v>
      </c>
      <c r="F51" s="14">
        <v>3.0</v>
      </c>
      <c r="G51" s="14">
        <v>27.0</v>
      </c>
      <c r="H51" s="14">
        <v>45.0</v>
      </c>
      <c r="I51" s="14">
        <v>3.0</v>
      </c>
      <c r="J51" s="14">
        <v>0.0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5" t="s">
        <v>57</v>
      </c>
      <c r="B52" s="15">
        <v>225.0</v>
      </c>
      <c r="C52" s="15">
        <v>33.7</v>
      </c>
      <c r="D52" s="15">
        <v>32.0</v>
      </c>
      <c r="E52" s="15">
        <v>33.0</v>
      </c>
      <c r="F52" s="15">
        <v>69.0</v>
      </c>
      <c r="G52" s="15">
        <v>54.0</v>
      </c>
      <c r="H52" s="15">
        <v>37.0</v>
      </c>
      <c r="I52" s="15">
        <v>14.0</v>
      </c>
      <c r="J52" s="15">
        <v>3.0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6" t="s">
        <v>62</v>
      </c>
      <c r="B53" s="6">
        <v>87.0</v>
      </c>
      <c r="C53" s="6">
        <v>40.6</v>
      </c>
      <c r="D53" s="6">
        <v>41.0</v>
      </c>
      <c r="E53" s="6">
        <v>0.0</v>
      </c>
      <c r="F53" s="6">
        <v>17.0</v>
      </c>
      <c r="G53" s="6">
        <v>22.0</v>
      </c>
      <c r="H53" s="6">
        <v>25.0</v>
      </c>
      <c r="I53" s="6">
        <v>4.0</v>
      </c>
      <c r="J53" s="6">
        <v>0.0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" t="s">
        <v>118</v>
      </c>
      <c r="B55" s="2"/>
      <c r="C55" s="2"/>
      <c r="D55" s="2"/>
      <c r="E55" s="2"/>
      <c r="F55" s="2"/>
      <c r="G55" s="2"/>
      <c r="H55" s="2"/>
      <c r="I55" s="2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72</v>
      </c>
      <c r="B56" s="5" t="s">
        <v>73</v>
      </c>
      <c r="C56" s="5" t="s">
        <v>95</v>
      </c>
      <c r="D56" s="5" t="s">
        <v>93</v>
      </c>
      <c r="E56" s="5" t="s">
        <v>91</v>
      </c>
      <c r="F56" s="5" t="s">
        <v>99</v>
      </c>
      <c r="G56" s="5" t="s">
        <v>97</v>
      </c>
      <c r="H56" s="5" t="s">
        <v>102</v>
      </c>
      <c r="I56" s="5" t="s">
        <v>105</v>
      </c>
      <c r="J56" s="5" t="s">
        <v>9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6" t="s">
        <v>11</v>
      </c>
      <c r="B57" s="6">
        <v>194.0</v>
      </c>
      <c r="C57" s="6">
        <v>73.0</v>
      </c>
      <c r="D57" s="6">
        <v>37.0</v>
      </c>
      <c r="E57" s="6">
        <v>47.0</v>
      </c>
      <c r="F57" s="6">
        <v>5.0</v>
      </c>
      <c r="G57" s="6">
        <v>9.0</v>
      </c>
      <c r="H57" s="6">
        <v>5.0</v>
      </c>
      <c r="I57" s="6">
        <v>6.0</v>
      </c>
      <c r="J57" s="6">
        <v>8.0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8" t="s">
        <v>12</v>
      </c>
      <c r="B58" s="8">
        <v>101.0</v>
      </c>
      <c r="C58" s="8">
        <v>9.0</v>
      </c>
      <c r="D58" s="8">
        <v>21.0</v>
      </c>
      <c r="E58" s="8">
        <v>33.0</v>
      </c>
      <c r="F58" s="8">
        <v>14.0</v>
      </c>
      <c r="G58" s="8">
        <v>9.0</v>
      </c>
      <c r="H58" s="8">
        <v>5.0</v>
      </c>
      <c r="I58" s="8">
        <v>0.0</v>
      </c>
      <c r="J58" s="8">
        <v>3.0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6" t="s">
        <v>19</v>
      </c>
      <c r="B59" s="6">
        <v>97.0</v>
      </c>
      <c r="C59" s="6">
        <v>18.0</v>
      </c>
      <c r="D59" s="6">
        <v>31.0</v>
      </c>
      <c r="E59" s="6">
        <v>32.0</v>
      </c>
      <c r="F59" s="6">
        <v>4.0</v>
      </c>
      <c r="G59" s="6">
        <v>0.0</v>
      </c>
      <c r="H59" s="6">
        <v>5.0</v>
      </c>
      <c r="I59" s="6">
        <v>0.0</v>
      </c>
      <c r="J59" s="6">
        <v>3.0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8" t="s">
        <v>23</v>
      </c>
      <c r="B60" s="8">
        <v>150.0</v>
      </c>
      <c r="C60" s="8">
        <v>28.0</v>
      </c>
      <c r="D60" s="8">
        <v>42.0</v>
      </c>
      <c r="E60" s="8">
        <v>40.0</v>
      </c>
      <c r="F60" s="8">
        <v>12.0</v>
      </c>
      <c r="G60" s="8">
        <v>8.0</v>
      </c>
      <c r="H60" s="8">
        <v>12.0</v>
      </c>
      <c r="I60" s="8">
        <v>0.0</v>
      </c>
      <c r="J60" s="8">
        <v>2.0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6" t="s">
        <v>25</v>
      </c>
      <c r="B61" s="6">
        <v>112.0</v>
      </c>
      <c r="C61" s="6">
        <v>5.0</v>
      </c>
      <c r="D61" s="6">
        <v>28.0</v>
      </c>
      <c r="E61" s="6">
        <v>37.0</v>
      </c>
      <c r="F61" s="6">
        <v>10.0</v>
      </c>
      <c r="G61" s="6">
        <v>19.0</v>
      </c>
      <c r="H61" s="6">
        <v>4.0</v>
      </c>
      <c r="I61" s="6">
        <v>0.0</v>
      </c>
      <c r="J61" s="6">
        <v>6.0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8" t="s">
        <v>26</v>
      </c>
      <c r="B62" s="8">
        <v>70.0</v>
      </c>
      <c r="C62" s="8">
        <v>7.0</v>
      </c>
      <c r="D62" s="8">
        <v>11.0</v>
      </c>
      <c r="E62" s="8">
        <v>12.0</v>
      </c>
      <c r="F62" s="8">
        <v>3.0</v>
      </c>
      <c r="G62" s="8">
        <v>29.0</v>
      </c>
      <c r="H62" s="8">
        <v>4.0</v>
      </c>
      <c r="I62" s="8">
        <v>1.0</v>
      </c>
      <c r="J62" s="8">
        <v>2.0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6" t="s">
        <v>28</v>
      </c>
      <c r="B63" s="6">
        <v>152.0</v>
      </c>
      <c r="C63" s="6">
        <v>18.0</v>
      </c>
      <c r="D63" s="6">
        <v>37.0</v>
      </c>
      <c r="E63" s="6">
        <v>40.0</v>
      </c>
      <c r="F63" s="6">
        <v>5.0</v>
      </c>
      <c r="G63" s="6">
        <v>32.0</v>
      </c>
      <c r="H63" s="6">
        <v>6.0</v>
      </c>
      <c r="I63" s="6">
        <v>0.0</v>
      </c>
      <c r="J63" s="6">
        <v>8.0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8" t="s">
        <v>29</v>
      </c>
      <c r="B64" s="8">
        <v>100.0</v>
      </c>
      <c r="C64" s="8">
        <v>11.0</v>
      </c>
      <c r="D64" s="8">
        <v>14.0</v>
      </c>
      <c r="E64" s="8">
        <v>42.0</v>
      </c>
      <c r="F64" s="8">
        <v>11.0</v>
      </c>
      <c r="G64" s="8">
        <v>3.0</v>
      </c>
      <c r="H64" s="8">
        <v>11.0</v>
      </c>
      <c r="I64" s="8">
        <v>0.0</v>
      </c>
      <c r="J64" s="8">
        <v>3.0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8" t="s">
        <v>30</v>
      </c>
      <c r="B65" s="8">
        <v>116.0</v>
      </c>
      <c r="C65" s="8">
        <v>34.0</v>
      </c>
      <c r="D65" s="8">
        <v>14.0</v>
      </c>
      <c r="E65" s="8">
        <v>13.0</v>
      </c>
      <c r="F65" s="8">
        <v>3.0</v>
      </c>
      <c r="G65" s="8">
        <v>47.0</v>
      </c>
      <c r="H65" s="8">
        <v>0.0</v>
      </c>
      <c r="I65" s="8">
        <v>0.0</v>
      </c>
      <c r="J65" s="8">
        <v>5.0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6" t="s">
        <v>32</v>
      </c>
      <c r="B66" s="6">
        <v>175.0</v>
      </c>
      <c r="C66" s="6">
        <v>39.0</v>
      </c>
      <c r="D66" s="6">
        <v>59.0</v>
      </c>
      <c r="E66" s="6">
        <v>50.0</v>
      </c>
      <c r="F66" s="6">
        <v>1.0</v>
      </c>
      <c r="G66" s="6">
        <v>11.0</v>
      </c>
      <c r="H66" s="6">
        <v>1.0</v>
      </c>
      <c r="I66" s="6">
        <v>3.0</v>
      </c>
      <c r="J66" s="6">
        <v>5.0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8" t="s">
        <v>33</v>
      </c>
      <c r="B67" s="8">
        <v>38.0</v>
      </c>
      <c r="C67" s="8">
        <v>3.0</v>
      </c>
      <c r="D67" s="8">
        <v>3.0</v>
      </c>
      <c r="E67" s="8">
        <v>19.0</v>
      </c>
      <c r="F67" s="8">
        <v>3.0</v>
      </c>
      <c r="G67" s="8">
        <v>0.0</v>
      </c>
      <c r="H67" s="8">
        <v>4.0</v>
      </c>
      <c r="I67" s="8">
        <v>0.0</v>
      </c>
      <c r="J67" s="8">
        <v>4.0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6" t="s">
        <v>35</v>
      </c>
      <c r="B68" s="6">
        <v>159.0</v>
      </c>
      <c r="C68" s="6">
        <v>30.0</v>
      </c>
      <c r="D68" s="6">
        <v>38.0</v>
      </c>
      <c r="E68" s="6">
        <v>26.0</v>
      </c>
      <c r="F68" s="6">
        <v>15.0</v>
      </c>
      <c r="G68" s="6">
        <v>36.0</v>
      </c>
      <c r="H68" s="6">
        <v>5.0</v>
      </c>
      <c r="I68" s="6">
        <v>0.0</v>
      </c>
      <c r="J68" s="6">
        <v>5.0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8" t="s">
        <v>37</v>
      </c>
      <c r="B69" s="8">
        <v>128.0</v>
      </c>
      <c r="C69" s="8">
        <v>23.0</v>
      </c>
      <c r="D69" s="8">
        <v>38.0</v>
      </c>
      <c r="E69" s="8">
        <v>25.0</v>
      </c>
      <c r="F69" s="8">
        <v>18.0</v>
      </c>
      <c r="G69" s="8">
        <v>0.0</v>
      </c>
      <c r="H69" s="8">
        <v>1.0</v>
      </c>
      <c r="I69" s="8">
        <v>0.0</v>
      </c>
      <c r="J69" s="8">
        <v>7.0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4" t="s">
        <v>38</v>
      </c>
      <c r="B70" s="14">
        <v>132.0</v>
      </c>
      <c r="C70" s="14">
        <v>16.0</v>
      </c>
      <c r="D70" s="14">
        <v>29.0</v>
      </c>
      <c r="E70" s="14">
        <v>37.0</v>
      </c>
      <c r="F70" s="14">
        <v>9.0</v>
      </c>
      <c r="G70" s="14">
        <v>25.0</v>
      </c>
      <c r="H70" s="14">
        <v>6.0</v>
      </c>
      <c r="I70" s="14">
        <v>2.0</v>
      </c>
      <c r="J70" s="14">
        <v>7.0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5" t="s">
        <v>40</v>
      </c>
      <c r="B71" s="15">
        <v>167.0</v>
      </c>
      <c r="C71" s="15">
        <v>25.0</v>
      </c>
      <c r="D71" s="15">
        <v>35.0</v>
      </c>
      <c r="E71" s="15">
        <v>41.0</v>
      </c>
      <c r="F71" s="15">
        <v>9.0</v>
      </c>
      <c r="G71" s="15">
        <v>40.0</v>
      </c>
      <c r="H71" s="15">
        <v>7.0</v>
      </c>
      <c r="I71" s="15">
        <v>1.0</v>
      </c>
      <c r="J71" s="15">
        <v>5.0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4" t="s">
        <v>42</v>
      </c>
      <c r="B72" s="14">
        <v>48.0</v>
      </c>
      <c r="C72" s="14">
        <v>1.0</v>
      </c>
      <c r="D72" s="14">
        <v>6.0</v>
      </c>
      <c r="E72" s="14">
        <v>3.0</v>
      </c>
      <c r="F72" s="14">
        <v>4.0</v>
      </c>
      <c r="G72" s="14">
        <v>27.0</v>
      </c>
      <c r="H72" s="14">
        <v>2.0</v>
      </c>
      <c r="I72" s="14">
        <v>0.0</v>
      </c>
      <c r="J72" s="14">
        <v>3.0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8" t="s">
        <v>44</v>
      </c>
      <c r="B73" s="8">
        <v>15.0</v>
      </c>
      <c r="C73" s="8">
        <v>2.0</v>
      </c>
      <c r="D73" s="8">
        <v>1.0</v>
      </c>
      <c r="E73" s="8">
        <v>5.0</v>
      </c>
      <c r="F73" s="8">
        <v>0.0</v>
      </c>
      <c r="G73" s="8">
        <v>6.0</v>
      </c>
      <c r="H73" s="8">
        <v>0.0</v>
      </c>
      <c r="I73" s="8">
        <v>0.0</v>
      </c>
      <c r="J73" s="8">
        <v>1.0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6" t="s">
        <v>46</v>
      </c>
      <c r="B74" s="6">
        <v>35.0</v>
      </c>
      <c r="C74" s="6">
        <v>3.0</v>
      </c>
      <c r="D74" s="6">
        <v>4.0</v>
      </c>
      <c r="E74" s="6">
        <v>10.0</v>
      </c>
      <c r="F74" s="6">
        <v>6.0</v>
      </c>
      <c r="G74" s="6">
        <v>2.0</v>
      </c>
      <c r="H74" s="6">
        <v>5.0</v>
      </c>
      <c r="I74" s="6">
        <v>0.0</v>
      </c>
      <c r="J74" s="6">
        <v>4.0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5" t="s">
        <v>48</v>
      </c>
      <c r="B75" s="15">
        <v>55.0</v>
      </c>
      <c r="C75" s="15">
        <v>11.0</v>
      </c>
      <c r="D75" s="15">
        <v>20.0</v>
      </c>
      <c r="E75" s="15">
        <v>12.0</v>
      </c>
      <c r="F75" s="15">
        <v>4.0</v>
      </c>
      <c r="G75" s="15">
        <v>0.0</v>
      </c>
      <c r="H75" s="15">
        <v>0.0</v>
      </c>
      <c r="I75" s="15">
        <v>2.0</v>
      </c>
      <c r="J75" s="15">
        <v>4.0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6" t="s">
        <v>51</v>
      </c>
      <c r="B76" s="6">
        <v>52.0</v>
      </c>
      <c r="C76" s="6">
        <v>13.0</v>
      </c>
      <c r="D76" s="6">
        <v>11.0</v>
      </c>
      <c r="E76" s="6">
        <v>13.0</v>
      </c>
      <c r="F76" s="6">
        <v>6.0</v>
      </c>
      <c r="G76" s="6">
        <v>0.0</v>
      </c>
      <c r="H76" s="6">
        <v>0.0</v>
      </c>
      <c r="I76" s="6">
        <v>5.0</v>
      </c>
      <c r="J76" s="6">
        <v>3.0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8" t="s">
        <v>52</v>
      </c>
      <c r="B77" s="8">
        <v>75.0</v>
      </c>
      <c r="C77" s="8">
        <v>8.0</v>
      </c>
      <c r="D77" s="8">
        <v>18.0</v>
      </c>
      <c r="E77" s="8">
        <v>13.0</v>
      </c>
      <c r="F77" s="8">
        <v>5.0</v>
      </c>
      <c r="G77" s="8">
        <v>16.0</v>
      </c>
      <c r="H77" s="8">
        <v>5.0</v>
      </c>
      <c r="I77" s="8">
        <v>1.0</v>
      </c>
      <c r="J77" s="8">
        <v>2.0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4" t="s">
        <v>54</v>
      </c>
      <c r="B78" s="14">
        <v>95.0</v>
      </c>
      <c r="C78" s="14">
        <v>38.0</v>
      </c>
      <c r="D78" s="14">
        <v>30.0</v>
      </c>
      <c r="E78" s="14">
        <v>11.0</v>
      </c>
      <c r="F78" s="14">
        <v>8.0</v>
      </c>
      <c r="G78" s="14">
        <v>2.0</v>
      </c>
      <c r="H78" s="14">
        <v>1.0</v>
      </c>
      <c r="I78" s="14">
        <v>1.0</v>
      </c>
      <c r="J78" s="14">
        <v>2.0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5" t="s">
        <v>57</v>
      </c>
      <c r="B79" s="15">
        <v>228.0</v>
      </c>
      <c r="C79" s="15">
        <v>38.0</v>
      </c>
      <c r="D79" s="15">
        <v>49.0</v>
      </c>
      <c r="E79" s="15">
        <v>75.0</v>
      </c>
      <c r="F79" s="15">
        <v>12.0</v>
      </c>
      <c r="G79" s="15">
        <v>45.0</v>
      </c>
      <c r="H79" s="15">
        <v>0.0</v>
      </c>
      <c r="I79" s="15">
        <v>0.0</v>
      </c>
      <c r="J79" s="15">
        <v>5.0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6" t="s">
        <v>62</v>
      </c>
      <c r="B80" s="6">
        <v>87.0</v>
      </c>
      <c r="C80" s="6">
        <v>24.0</v>
      </c>
      <c r="D80" s="6">
        <v>21.0</v>
      </c>
      <c r="E80" s="6">
        <v>14.0</v>
      </c>
      <c r="F80" s="6">
        <v>4.0</v>
      </c>
      <c r="G80" s="6">
        <v>17.0</v>
      </c>
      <c r="H80" s="6">
        <v>2.0</v>
      </c>
      <c r="I80" s="6">
        <v>3.0</v>
      </c>
      <c r="J80" s="6">
        <v>1.0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</sheetData>
  <mergeCells count="3">
    <mergeCell ref="A1:H1"/>
    <mergeCell ref="A28:J28"/>
    <mergeCell ref="A55:J5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3.63"/>
    <col customWidth="1" min="12" max="12" width="15.63"/>
    <col customWidth="1" min="21" max="21" width="14.88"/>
    <col customWidth="1" min="37" max="37" width="13.63"/>
    <col customWidth="1" min="38" max="38" width="15.63"/>
    <col customWidth="1" min="47" max="47" width="14.88"/>
    <col customWidth="1" min="63" max="63" width="13.63"/>
    <col customWidth="1" min="64" max="64" width="15.63"/>
    <col customWidth="1" min="73" max="73" width="14.88"/>
    <col customWidth="1" min="89" max="89" width="13.63"/>
    <col customWidth="1" min="90" max="90" width="15.63"/>
    <col customWidth="1" min="99" max="99" width="14.88"/>
    <col customWidth="1" min="115" max="115" width="13.63"/>
    <col customWidth="1" min="116" max="116" width="15.63"/>
    <col customWidth="1" min="125" max="125" width="14.88"/>
    <col customWidth="1" min="141" max="141" width="13.63"/>
    <col customWidth="1" min="142" max="142" width="15.63"/>
    <col customWidth="1" min="151" max="151" width="14.88"/>
    <col customWidth="1" min="167" max="167" width="13.63"/>
    <col customWidth="1" min="168" max="168" width="15.63"/>
    <col customWidth="1" min="177" max="177" width="14.88"/>
    <col customWidth="1" min="193" max="193" width="13.63"/>
    <col customWidth="1" min="194" max="194" width="15.63"/>
    <col customWidth="1" min="203" max="203" width="14.88"/>
    <col customWidth="1" min="219" max="219" width="13.63"/>
    <col customWidth="1" min="220" max="220" width="15.63"/>
    <col customWidth="1" min="229" max="229" width="14.88"/>
    <col customWidth="1" min="245" max="245" width="13.63"/>
    <col customWidth="1" min="246" max="246" width="15.63"/>
    <col customWidth="1" min="255" max="255" width="14.88"/>
    <col customWidth="1" min="271" max="271" width="13.63"/>
    <col customWidth="1" min="272" max="272" width="15.63"/>
    <col customWidth="1" min="281" max="281" width="14.88"/>
    <col customWidth="1" min="297" max="297" width="13.63"/>
    <col customWidth="1" min="298" max="298" width="15.63"/>
    <col customWidth="1" min="307" max="307" width="14.88"/>
    <col customWidth="1" min="323" max="323" width="13.63"/>
    <col customWidth="1" min="324" max="324" width="15.63"/>
    <col customWidth="1" min="333" max="333" width="14.88"/>
    <col customWidth="1" min="349" max="349" width="13.63"/>
    <col customWidth="1" min="350" max="350" width="15.63"/>
    <col customWidth="1" min="359" max="359" width="14.88"/>
    <col customWidth="1" min="375" max="375" width="13.63"/>
    <col customWidth="1" min="376" max="376" width="15.63"/>
    <col customWidth="1" min="385" max="385" width="14.88"/>
    <col customWidth="1" min="401" max="401" width="13.63"/>
    <col customWidth="1" min="402" max="402" width="15.63"/>
    <col customWidth="1" min="411" max="411" width="14.88"/>
    <col customWidth="1" min="427" max="427" width="13.63"/>
    <col customWidth="1" min="428" max="428" width="15.63"/>
    <col customWidth="1" min="437" max="437" width="14.88"/>
    <col customWidth="1" min="453" max="453" width="13.63"/>
    <col customWidth="1" min="454" max="454" width="15.63"/>
    <col customWidth="1" min="463" max="463" width="14.88"/>
    <col customWidth="1" min="479" max="479" width="13.63"/>
    <col customWidth="1" min="480" max="480" width="15.63"/>
    <col customWidth="1" min="489" max="489" width="14.88"/>
    <col customWidth="1" min="505" max="505" width="13.63"/>
    <col customWidth="1" min="506" max="506" width="15.63"/>
    <col customWidth="1" min="515" max="515" width="14.88"/>
    <col customWidth="1" min="531" max="531" width="13.63"/>
    <col customWidth="1" min="532" max="532" width="15.63"/>
    <col customWidth="1" min="541" max="541" width="14.88"/>
    <col customWidth="1" min="557" max="557" width="13.63"/>
    <col customWidth="1" min="558" max="558" width="15.63"/>
    <col customWidth="1" min="567" max="567" width="14.88"/>
    <col customWidth="1" min="583" max="583" width="13.63"/>
    <col customWidth="1" min="584" max="584" width="15.63"/>
    <col customWidth="1" min="593" max="593" width="14.88"/>
    <col customWidth="1" min="609" max="609" width="13.63"/>
    <col customWidth="1" min="610" max="610" width="15.63"/>
    <col customWidth="1" min="619" max="619" width="14.88"/>
    <col customWidth="1" min="635" max="635" width="13.63"/>
    <col customWidth="1" min="636" max="636" width="15.63"/>
    <col customWidth="1" min="645" max="645" width="14.88"/>
    <col customWidth="1" min="661" max="661" width="13.63"/>
    <col customWidth="1" min="662" max="662" width="15.63"/>
    <col customWidth="1" min="671" max="671" width="14.88"/>
    <col customWidth="1" min="687" max="687" width="13.63"/>
    <col customWidth="1" min="688" max="688" width="15.63"/>
    <col customWidth="1" min="697" max="697" width="14.88"/>
    <col customWidth="1" min="713" max="713" width="13.63"/>
    <col customWidth="1" min="714" max="714" width="15.63"/>
    <col customWidth="1" min="723" max="723" width="14.88"/>
    <col customWidth="1" min="739" max="739" width="13.63"/>
    <col customWidth="1" min="740" max="740" width="15.63"/>
    <col customWidth="1" min="749" max="749" width="14.88"/>
    <col customWidth="1" min="765" max="765" width="13.63"/>
    <col customWidth="1" min="766" max="766" width="15.63"/>
    <col customWidth="1" min="775" max="775" width="14.88"/>
    <col customWidth="1" min="791" max="791" width="13.63"/>
    <col customWidth="1" min="792" max="792" width="15.63"/>
    <col customWidth="1" min="801" max="801" width="14.88"/>
    <col customWidth="1" min="817" max="817" width="13.63"/>
    <col customWidth="1" min="818" max="818" width="15.63"/>
    <col customWidth="1" min="827" max="827" width="14.88"/>
    <col customWidth="1" min="843" max="843" width="13.63"/>
    <col customWidth="1" min="844" max="844" width="15.63"/>
    <col customWidth="1" min="853" max="853" width="14.88"/>
    <col customWidth="1" min="869" max="869" width="13.63"/>
    <col customWidth="1" min="870" max="870" width="15.63"/>
    <col customWidth="1" min="879" max="879" width="14.88"/>
    <col customWidth="1" min="895" max="895" width="13.63"/>
    <col customWidth="1" min="896" max="896" width="15.63"/>
    <col customWidth="1" min="905" max="905" width="14.88"/>
    <col customWidth="1" min="921" max="921" width="13.63"/>
    <col customWidth="1" min="922" max="922" width="15.63"/>
    <col customWidth="1" min="931" max="931" width="14.88"/>
    <col customWidth="1" min="947" max="947" width="13.63"/>
    <col customWidth="1" min="948" max="948" width="15.63"/>
    <col customWidth="1" min="957" max="957" width="14.88"/>
    <col customWidth="1" min="973" max="973" width="13.63"/>
    <col customWidth="1" min="974" max="974" width="15.63"/>
    <col customWidth="1" min="983" max="983" width="14.88"/>
    <col customWidth="1" min="999" max="999" width="13.63"/>
    <col customWidth="1" min="1000" max="1000" width="15.63"/>
  </cols>
  <sheetData>
    <row r="1">
      <c r="A1" s="11" t="s">
        <v>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</row>
    <row r="2">
      <c r="A2" s="25" t="s">
        <v>72</v>
      </c>
      <c r="B2" s="25" t="s">
        <v>73</v>
      </c>
      <c r="C2" s="25" t="s">
        <v>98</v>
      </c>
      <c r="D2" s="25" t="s">
        <v>110</v>
      </c>
      <c r="E2" s="25" t="s">
        <v>92</v>
      </c>
      <c r="F2" s="25" t="s">
        <v>106</v>
      </c>
      <c r="G2" s="25" t="s">
        <v>113</v>
      </c>
      <c r="H2" s="25" t="s">
        <v>116</v>
      </c>
      <c r="I2" s="25" t="s">
        <v>108</v>
      </c>
      <c r="J2" s="25" t="s">
        <v>111</v>
      </c>
      <c r="K2" s="25" t="s">
        <v>104</v>
      </c>
      <c r="L2" s="25" t="s">
        <v>109</v>
      </c>
      <c r="M2" s="25" t="s">
        <v>9</v>
      </c>
      <c r="N2" s="25" t="s">
        <v>94</v>
      </c>
      <c r="O2" s="25" t="s">
        <v>112</v>
      </c>
      <c r="P2" s="25" t="s">
        <v>115</v>
      </c>
      <c r="Q2" s="25" t="s">
        <v>107</v>
      </c>
      <c r="R2" s="25" t="s">
        <v>101</v>
      </c>
      <c r="S2" s="25" t="s">
        <v>96</v>
      </c>
      <c r="T2" s="25" t="s">
        <v>100</v>
      </c>
      <c r="U2" s="25" t="s">
        <v>117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</row>
    <row r="3">
      <c r="A3" s="26" t="s">
        <v>11</v>
      </c>
      <c r="B3" s="6">
        <v>194.0</v>
      </c>
      <c r="C3" s="6">
        <v>48.0</v>
      </c>
      <c r="D3" s="6">
        <v>0.0</v>
      </c>
      <c r="E3" s="6">
        <v>54.0</v>
      </c>
      <c r="F3" s="6">
        <v>2.0</v>
      </c>
      <c r="G3" s="6">
        <v>2.0</v>
      </c>
      <c r="H3" s="6">
        <v>0.0</v>
      </c>
      <c r="I3" s="6">
        <v>0.0</v>
      </c>
      <c r="J3" s="6">
        <v>0.0</v>
      </c>
      <c r="K3" s="6">
        <v>4.0</v>
      </c>
      <c r="L3" s="6">
        <v>1.0</v>
      </c>
      <c r="M3" s="6">
        <v>6.0</v>
      </c>
      <c r="N3" s="6">
        <v>39.0</v>
      </c>
      <c r="O3" s="6">
        <v>0.0</v>
      </c>
      <c r="P3" s="6">
        <v>1.0</v>
      </c>
      <c r="Q3" s="6">
        <v>5.0</v>
      </c>
      <c r="R3" s="6">
        <v>9.0</v>
      </c>
      <c r="S3" s="6">
        <v>3.0</v>
      </c>
      <c r="T3" s="6">
        <v>20.0</v>
      </c>
      <c r="U3" s="6">
        <v>0.0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</row>
    <row r="4">
      <c r="A4" s="27" t="s">
        <v>12</v>
      </c>
      <c r="B4" s="8">
        <v>101.0</v>
      </c>
      <c r="C4" s="8">
        <v>5.0</v>
      </c>
      <c r="D4" s="8">
        <v>2.0</v>
      </c>
      <c r="E4" s="8">
        <v>22.0</v>
      </c>
      <c r="F4" s="8">
        <v>0.0</v>
      </c>
      <c r="G4" s="8">
        <v>0.0</v>
      </c>
      <c r="H4" s="8">
        <v>0.0</v>
      </c>
      <c r="I4" s="8">
        <v>1.0</v>
      </c>
      <c r="J4" s="8">
        <v>0.0</v>
      </c>
      <c r="K4" s="8">
        <v>2.0</v>
      </c>
      <c r="L4" s="8">
        <v>0.0</v>
      </c>
      <c r="M4" s="8">
        <v>0.0</v>
      </c>
      <c r="N4" s="8">
        <v>22.0</v>
      </c>
      <c r="O4" s="8">
        <v>0.0</v>
      </c>
      <c r="P4" s="8">
        <v>2.0</v>
      </c>
      <c r="Q4" s="8">
        <v>1.0</v>
      </c>
      <c r="R4" s="8">
        <v>7.0</v>
      </c>
      <c r="S4" s="8">
        <v>13.0</v>
      </c>
      <c r="T4" s="8">
        <v>21.0</v>
      </c>
      <c r="U4" s="8">
        <v>0.0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  <c r="AAE4" s="4"/>
      <c r="AAF4" s="4"/>
      <c r="AAG4" s="4"/>
      <c r="AAH4" s="4"/>
      <c r="AAI4" s="4"/>
      <c r="AAJ4" s="4"/>
      <c r="AAK4" s="4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W4" s="4"/>
      <c r="AAX4" s="4"/>
      <c r="AAY4" s="4"/>
      <c r="AAZ4" s="4"/>
      <c r="ABA4" s="4"/>
      <c r="ABB4" s="4"/>
      <c r="ABC4" s="4"/>
      <c r="ABD4" s="4"/>
      <c r="ABE4" s="4"/>
      <c r="ABF4" s="4"/>
      <c r="ABG4" s="4"/>
      <c r="ABH4" s="4"/>
      <c r="ABI4" s="4"/>
      <c r="ABJ4" s="4"/>
      <c r="ABK4" s="4"/>
      <c r="ABL4" s="4"/>
      <c r="ABM4" s="4"/>
      <c r="ABN4" s="4"/>
      <c r="ABO4" s="4"/>
      <c r="ABP4" s="4"/>
      <c r="ABQ4" s="4"/>
      <c r="ABR4" s="4"/>
      <c r="ABS4" s="4"/>
      <c r="ABT4" s="4"/>
      <c r="ABU4" s="4"/>
      <c r="ABV4" s="4"/>
      <c r="ABW4" s="4"/>
      <c r="ABX4" s="4"/>
      <c r="ABY4" s="4"/>
      <c r="ABZ4" s="4"/>
      <c r="ACA4" s="4"/>
      <c r="ACB4" s="4"/>
      <c r="ACC4" s="4"/>
      <c r="ACD4" s="4"/>
      <c r="ACE4" s="4"/>
      <c r="ACF4" s="4"/>
      <c r="ACG4" s="4"/>
      <c r="ACH4" s="4"/>
      <c r="ACI4" s="4"/>
      <c r="ACJ4" s="4"/>
      <c r="ACK4" s="4"/>
      <c r="ACL4" s="4"/>
      <c r="ACM4" s="4"/>
      <c r="ACN4" s="4"/>
      <c r="ACO4" s="4"/>
      <c r="ACP4" s="4"/>
      <c r="ACQ4" s="4"/>
      <c r="ACR4" s="4"/>
      <c r="ACS4" s="4"/>
      <c r="ACT4" s="4"/>
      <c r="ACU4" s="4"/>
      <c r="ACV4" s="4"/>
      <c r="ACW4" s="4"/>
      <c r="ACX4" s="4"/>
      <c r="ACY4" s="4"/>
      <c r="ACZ4" s="4"/>
      <c r="ADA4" s="4"/>
      <c r="ADB4" s="4"/>
      <c r="ADC4" s="4"/>
      <c r="ADD4" s="4"/>
      <c r="ADE4" s="4"/>
      <c r="ADF4" s="4"/>
      <c r="ADG4" s="4"/>
      <c r="ADH4" s="4"/>
      <c r="ADI4" s="4"/>
      <c r="ADJ4" s="4"/>
      <c r="ADK4" s="4"/>
      <c r="ADL4" s="4"/>
      <c r="ADM4" s="4"/>
      <c r="ADN4" s="4"/>
      <c r="ADO4" s="4"/>
      <c r="ADP4" s="4"/>
      <c r="ADQ4" s="4"/>
      <c r="ADR4" s="4"/>
      <c r="ADS4" s="4"/>
      <c r="ADT4" s="4"/>
      <c r="ADU4" s="4"/>
      <c r="ADV4" s="4"/>
      <c r="ADW4" s="4"/>
      <c r="ADX4" s="4"/>
      <c r="ADY4" s="4"/>
      <c r="ADZ4" s="4"/>
      <c r="AEA4" s="4"/>
      <c r="AEB4" s="4"/>
      <c r="AEC4" s="4"/>
      <c r="AED4" s="4"/>
      <c r="AEE4" s="4"/>
      <c r="AEF4" s="4"/>
      <c r="AEG4" s="4"/>
      <c r="AEH4" s="4"/>
      <c r="AEI4" s="4"/>
      <c r="AEJ4" s="4"/>
      <c r="AEK4" s="4"/>
      <c r="AEL4" s="4"/>
      <c r="AEM4" s="4"/>
      <c r="AEN4" s="4"/>
      <c r="AEO4" s="4"/>
      <c r="AEP4" s="4"/>
      <c r="AEQ4" s="4"/>
      <c r="AER4" s="4"/>
      <c r="AES4" s="4"/>
      <c r="AET4" s="4"/>
      <c r="AEU4" s="4"/>
      <c r="AEV4" s="4"/>
      <c r="AEW4" s="4"/>
      <c r="AEX4" s="4"/>
      <c r="AEY4" s="4"/>
      <c r="AEZ4" s="4"/>
      <c r="AFA4" s="4"/>
      <c r="AFB4" s="4"/>
      <c r="AFC4" s="4"/>
      <c r="AFD4" s="4"/>
      <c r="AFE4" s="4"/>
      <c r="AFF4" s="4"/>
      <c r="AFG4" s="4"/>
      <c r="AFH4" s="4"/>
      <c r="AFI4" s="4"/>
      <c r="AFJ4" s="4"/>
      <c r="AFK4" s="4"/>
      <c r="AFL4" s="4"/>
      <c r="AFM4" s="4"/>
      <c r="AFN4" s="4"/>
      <c r="AFO4" s="4"/>
      <c r="AFP4" s="4"/>
      <c r="AFQ4" s="4"/>
      <c r="AFR4" s="4"/>
      <c r="AFS4" s="4"/>
      <c r="AFT4" s="4"/>
      <c r="AFU4" s="4"/>
      <c r="AFV4" s="4"/>
      <c r="AFW4" s="4"/>
      <c r="AFX4" s="4"/>
      <c r="AFY4" s="4"/>
      <c r="AFZ4" s="4"/>
      <c r="AGA4" s="4"/>
      <c r="AGB4" s="4"/>
      <c r="AGC4" s="4"/>
      <c r="AGD4" s="4"/>
      <c r="AGE4" s="4"/>
      <c r="AGF4" s="4"/>
      <c r="AGG4" s="4"/>
      <c r="AGH4" s="4"/>
      <c r="AGI4" s="4"/>
      <c r="AGJ4" s="4"/>
      <c r="AGK4" s="4"/>
      <c r="AGL4" s="4"/>
      <c r="AGM4" s="4"/>
      <c r="AGN4" s="4"/>
      <c r="AGO4" s="4"/>
      <c r="AGP4" s="4"/>
      <c r="AGQ4" s="4"/>
      <c r="AGR4" s="4"/>
      <c r="AGS4" s="4"/>
      <c r="AGT4" s="4"/>
      <c r="AGU4" s="4"/>
      <c r="AGV4" s="4"/>
      <c r="AGW4" s="4"/>
      <c r="AGX4" s="4"/>
      <c r="AGY4" s="4"/>
      <c r="AGZ4" s="4"/>
      <c r="AHA4" s="4"/>
      <c r="AHB4" s="4"/>
      <c r="AHC4" s="4"/>
      <c r="AHD4" s="4"/>
      <c r="AHE4" s="4"/>
      <c r="AHF4" s="4"/>
      <c r="AHG4" s="4"/>
      <c r="AHH4" s="4"/>
      <c r="AHI4" s="4"/>
      <c r="AHJ4" s="4"/>
      <c r="AHK4" s="4"/>
      <c r="AHL4" s="4"/>
      <c r="AHM4" s="4"/>
      <c r="AHN4" s="4"/>
      <c r="AHO4" s="4"/>
      <c r="AHP4" s="4"/>
      <c r="AHQ4" s="4"/>
      <c r="AHR4" s="4"/>
      <c r="AHS4" s="4"/>
      <c r="AHT4" s="4"/>
      <c r="AHU4" s="4"/>
      <c r="AHV4" s="4"/>
      <c r="AHW4" s="4"/>
      <c r="AHX4" s="4"/>
      <c r="AHY4" s="4"/>
      <c r="AHZ4" s="4"/>
      <c r="AIA4" s="4"/>
      <c r="AIB4" s="4"/>
      <c r="AIC4" s="4"/>
      <c r="AID4" s="4"/>
      <c r="AIE4" s="4"/>
      <c r="AIF4" s="4"/>
      <c r="AIG4" s="4"/>
      <c r="AIH4" s="4"/>
      <c r="AII4" s="4"/>
      <c r="AIJ4" s="4"/>
      <c r="AIK4" s="4"/>
      <c r="AIL4" s="4"/>
      <c r="AIM4" s="4"/>
      <c r="AIN4" s="4"/>
      <c r="AIO4" s="4"/>
      <c r="AIP4" s="4"/>
      <c r="AIQ4" s="4"/>
      <c r="AIR4" s="4"/>
      <c r="AIS4" s="4"/>
      <c r="AIT4" s="4"/>
      <c r="AIU4" s="4"/>
      <c r="AIV4" s="4"/>
      <c r="AIW4" s="4"/>
      <c r="AIX4" s="4"/>
      <c r="AIY4" s="4"/>
      <c r="AIZ4" s="4"/>
      <c r="AJA4" s="4"/>
      <c r="AJB4" s="4"/>
      <c r="AJC4" s="4"/>
      <c r="AJD4" s="4"/>
      <c r="AJE4" s="4"/>
      <c r="AJF4" s="4"/>
      <c r="AJG4" s="4"/>
      <c r="AJH4" s="4"/>
      <c r="AJI4" s="4"/>
      <c r="AJJ4" s="4"/>
      <c r="AJK4" s="4"/>
      <c r="AJL4" s="4"/>
      <c r="AJM4" s="4"/>
      <c r="AJN4" s="4"/>
      <c r="AJO4" s="4"/>
      <c r="AJP4" s="4"/>
      <c r="AJQ4" s="4"/>
      <c r="AJR4" s="4"/>
      <c r="AJS4" s="4"/>
      <c r="AJT4" s="4"/>
      <c r="AJU4" s="4"/>
      <c r="AJV4" s="4"/>
      <c r="AJW4" s="4"/>
      <c r="AJX4" s="4"/>
      <c r="AJY4" s="4"/>
      <c r="AJZ4" s="4"/>
      <c r="AKA4" s="4"/>
      <c r="AKB4" s="4"/>
      <c r="AKC4" s="4"/>
      <c r="AKD4" s="4"/>
      <c r="AKE4" s="4"/>
      <c r="AKF4" s="4"/>
      <c r="AKG4" s="4"/>
      <c r="AKH4" s="4"/>
      <c r="AKI4" s="4"/>
      <c r="AKJ4" s="4"/>
      <c r="AKK4" s="4"/>
      <c r="AKL4" s="4"/>
      <c r="AKM4" s="4"/>
      <c r="AKN4" s="4"/>
      <c r="AKO4" s="4"/>
      <c r="AKP4" s="4"/>
      <c r="AKQ4" s="4"/>
      <c r="AKR4" s="4"/>
      <c r="AKS4" s="4"/>
      <c r="AKT4" s="4"/>
      <c r="AKU4" s="4"/>
      <c r="AKV4" s="4"/>
      <c r="AKW4" s="4"/>
      <c r="AKX4" s="4"/>
      <c r="AKY4" s="4"/>
      <c r="AKZ4" s="4"/>
      <c r="ALA4" s="4"/>
      <c r="ALB4" s="4"/>
      <c r="ALC4" s="4"/>
      <c r="ALD4" s="4"/>
      <c r="ALE4" s="4"/>
      <c r="ALF4" s="4"/>
      <c r="ALG4" s="4"/>
      <c r="ALH4" s="4"/>
      <c r="ALI4" s="4"/>
      <c r="ALJ4" s="4"/>
      <c r="ALK4" s="4"/>
      <c r="ALL4" s="4"/>
    </row>
    <row r="5">
      <c r="A5" s="26" t="s">
        <v>19</v>
      </c>
      <c r="B5" s="6">
        <v>97.0</v>
      </c>
      <c r="C5" s="6">
        <v>6.0</v>
      </c>
      <c r="D5" s="6">
        <v>1.0</v>
      </c>
      <c r="E5" s="6">
        <v>39.0</v>
      </c>
      <c r="F5" s="6">
        <v>0.0</v>
      </c>
      <c r="G5" s="6">
        <v>0.0</v>
      </c>
      <c r="H5" s="6">
        <v>0.0</v>
      </c>
      <c r="I5" s="6">
        <v>0.0</v>
      </c>
      <c r="J5" s="6">
        <v>1.0</v>
      </c>
      <c r="K5" s="6">
        <v>0.0</v>
      </c>
      <c r="L5" s="6">
        <v>0.0</v>
      </c>
      <c r="M5" s="6">
        <v>5.0</v>
      </c>
      <c r="N5" s="6">
        <v>17.0</v>
      </c>
      <c r="O5" s="6">
        <v>0.0</v>
      </c>
      <c r="P5" s="6">
        <v>0.0</v>
      </c>
      <c r="Q5" s="6">
        <v>3.0</v>
      </c>
      <c r="R5" s="6">
        <v>4.0</v>
      </c>
      <c r="S5" s="6">
        <v>11.0</v>
      </c>
      <c r="T5" s="6">
        <v>10.0</v>
      </c>
      <c r="U5" s="6">
        <v>0.0</v>
      </c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  <c r="AAE5" s="4"/>
      <c r="AAF5" s="4"/>
      <c r="AAG5" s="4"/>
      <c r="AAH5" s="4"/>
      <c r="AAI5" s="4"/>
      <c r="AAJ5" s="4"/>
      <c r="AAK5" s="4"/>
      <c r="AAL5" s="4"/>
      <c r="AAM5" s="4"/>
      <c r="AAN5" s="4"/>
      <c r="AAO5" s="4"/>
      <c r="AAP5" s="4"/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  <c r="ABD5" s="4"/>
      <c r="ABE5" s="4"/>
      <c r="ABF5" s="4"/>
      <c r="ABG5" s="4"/>
      <c r="ABH5" s="4"/>
      <c r="ABI5" s="4"/>
      <c r="ABJ5" s="4"/>
      <c r="ABK5" s="4"/>
      <c r="ABL5" s="4"/>
      <c r="ABM5" s="4"/>
      <c r="ABN5" s="4"/>
      <c r="ABO5" s="4"/>
      <c r="ABP5" s="4"/>
      <c r="ABQ5" s="4"/>
      <c r="ABR5" s="4"/>
      <c r="ABS5" s="4"/>
      <c r="ABT5" s="4"/>
      <c r="ABU5" s="4"/>
      <c r="ABV5" s="4"/>
      <c r="ABW5" s="4"/>
      <c r="ABX5" s="4"/>
      <c r="ABY5" s="4"/>
      <c r="ABZ5" s="4"/>
      <c r="ACA5" s="4"/>
      <c r="ACB5" s="4"/>
      <c r="ACC5" s="4"/>
      <c r="ACD5" s="4"/>
      <c r="ACE5" s="4"/>
      <c r="ACF5" s="4"/>
      <c r="ACG5" s="4"/>
      <c r="ACH5" s="4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"/>
      <c r="ACZ5" s="4"/>
      <c r="ADA5" s="4"/>
      <c r="ADB5" s="4"/>
      <c r="ADC5" s="4"/>
      <c r="ADD5" s="4"/>
      <c r="ADE5" s="4"/>
      <c r="ADF5" s="4"/>
      <c r="ADG5" s="4"/>
      <c r="ADH5" s="4"/>
      <c r="ADI5" s="4"/>
      <c r="ADJ5" s="4"/>
      <c r="ADK5" s="4"/>
      <c r="ADL5" s="4"/>
      <c r="ADM5" s="4"/>
      <c r="ADN5" s="4"/>
      <c r="ADO5" s="4"/>
      <c r="ADP5" s="4"/>
      <c r="ADQ5" s="4"/>
      <c r="ADR5" s="4"/>
      <c r="ADS5" s="4"/>
      <c r="ADT5" s="4"/>
      <c r="ADU5" s="4"/>
      <c r="ADV5" s="4"/>
      <c r="ADW5" s="4"/>
      <c r="ADX5" s="4"/>
      <c r="ADY5" s="4"/>
      <c r="ADZ5" s="4"/>
      <c r="AEA5" s="4"/>
      <c r="AEB5" s="4"/>
      <c r="AEC5" s="4"/>
      <c r="AED5" s="4"/>
      <c r="AEE5" s="4"/>
      <c r="AEF5" s="4"/>
      <c r="AEG5" s="4"/>
      <c r="AEH5" s="4"/>
      <c r="AEI5" s="4"/>
      <c r="AEJ5" s="4"/>
      <c r="AEK5" s="4"/>
      <c r="AEL5" s="4"/>
      <c r="AEM5" s="4"/>
      <c r="AEN5" s="4"/>
      <c r="AEO5" s="4"/>
      <c r="AEP5" s="4"/>
      <c r="AEQ5" s="4"/>
      <c r="AER5" s="4"/>
      <c r="AES5" s="4"/>
      <c r="AET5" s="4"/>
      <c r="AEU5" s="4"/>
      <c r="AEV5" s="4"/>
      <c r="AEW5" s="4"/>
      <c r="AEX5" s="4"/>
      <c r="AEY5" s="4"/>
      <c r="AEZ5" s="4"/>
      <c r="AFA5" s="4"/>
      <c r="AFB5" s="4"/>
      <c r="AFC5" s="4"/>
      <c r="AFD5" s="4"/>
      <c r="AFE5" s="4"/>
      <c r="AFF5" s="4"/>
      <c r="AFG5" s="4"/>
      <c r="AFH5" s="4"/>
      <c r="AFI5" s="4"/>
      <c r="AFJ5" s="4"/>
      <c r="AFK5" s="4"/>
      <c r="AFL5" s="4"/>
      <c r="AFM5" s="4"/>
      <c r="AFN5" s="4"/>
      <c r="AFO5" s="4"/>
      <c r="AFP5" s="4"/>
      <c r="AFQ5" s="4"/>
      <c r="AFR5" s="4"/>
      <c r="AFS5" s="4"/>
      <c r="AFT5" s="4"/>
      <c r="AFU5" s="4"/>
      <c r="AFV5" s="4"/>
      <c r="AFW5" s="4"/>
      <c r="AFX5" s="4"/>
      <c r="AFY5" s="4"/>
      <c r="AFZ5" s="4"/>
      <c r="AGA5" s="4"/>
      <c r="AGB5" s="4"/>
      <c r="AGC5" s="4"/>
      <c r="AGD5" s="4"/>
      <c r="AGE5" s="4"/>
      <c r="AGF5" s="4"/>
      <c r="AGG5" s="4"/>
      <c r="AGH5" s="4"/>
      <c r="AGI5" s="4"/>
      <c r="AGJ5" s="4"/>
      <c r="AGK5" s="4"/>
      <c r="AGL5" s="4"/>
      <c r="AGM5" s="4"/>
      <c r="AGN5" s="4"/>
      <c r="AGO5" s="4"/>
      <c r="AGP5" s="4"/>
      <c r="AGQ5" s="4"/>
      <c r="AGR5" s="4"/>
      <c r="AGS5" s="4"/>
      <c r="AGT5" s="4"/>
      <c r="AGU5" s="4"/>
      <c r="AGV5" s="4"/>
      <c r="AGW5" s="4"/>
      <c r="AGX5" s="4"/>
      <c r="AGY5" s="4"/>
      <c r="AGZ5" s="4"/>
      <c r="AHA5" s="4"/>
      <c r="AHB5" s="4"/>
      <c r="AHC5" s="4"/>
      <c r="AHD5" s="4"/>
      <c r="AHE5" s="4"/>
      <c r="AHF5" s="4"/>
      <c r="AHG5" s="4"/>
      <c r="AHH5" s="4"/>
      <c r="AHI5" s="4"/>
      <c r="AHJ5" s="4"/>
      <c r="AHK5" s="4"/>
      <c r="AHL5" s="4"/>
      <c r="AHM5" s="4"/>
      <c r="AHN5" s="4"/>
      <c r="AHO5" s="4"/>
      <c r="AHP5" s="4"/>
      <c r="AHQ5" s="4"/>
      <c r="AHR5" s="4"/>
      <c r="AHS5" s="4"/>
      <c r="AHT5" s="4"/>
      <c r="AHU5" s="4"/>
      <c r="AHV5" s="4"/>
      <c r="AHW5" s="4"/>
      <c r="AHX5" s="4"/>
      <c r="AHY5" s="4"/>
      <c r="AHZ5" s="4"/>
      <c r="AIA5" s="4"/>
      <c r="AIB5" s="4"/>
      <c r="AIC5" s="4"/>
      <c r="AID5" s="4"/>
      <c r="AIE5" s="4"/>
      <c r="AIF5" s="4"/>
      <c r="AIG5" s="4"/>
      <c r="AIH5" s="4"/>
      <c r="AII5" s="4"/>
      <c r="AIJ5" s="4"/>
      <c r="AIK5" s="4"/>
      <c r="AIL5" s="4"/>
      <c r="AIM5" s="4"/>
      <c r="AIN5" s="4"/>
      <c r="AIO5" s="4"/>
      <c r="AIP5" s="4"/>
      <c r="AIQ5" s="4"/>
      <c r="AIR5" s="4"/>
      <c r="AIS5" s="4"/>
      <c r="AIT5" s="4"/>
      <c r="AIU5" s="4"/>
      <c r="AIV5" s="4"/>
      <c r="AIW5" s="4"/>
      <c r="AIX5" s="4"/>
      <c r="AIY5" s="4"/>
      <c r="AIZ5" s="4"/>
      <c r="AJA5" s="4"/>
      <c r="AJB5" s="4"/>
      <c r="AJC5" s="4"/>
      <c r="AJD5" s="4"/>
      <c r="AJE5" s="4"/>
      <c r="AJF5" s="4"/>
      <c r="AJG5" s="4"/>
      <c r="AJH5" s="4"/>
      <c r="AJI5" s="4"/>
      <c r="AJJ5" s="4"/>
      <c r="AJK5" s="4"/>
      <c r="AJL5" s="4"/>
      <c r="AJM5" s="4"/>
      <c r="AJN5" s="4"/>
      <c r="AJO5" s="4"/>
      <c r="AJP5" s="4"/>
      <c r="AJQ5" s="4"/>
      <c r="AJR5" s="4"/>
      <c r="AJS5" s="4"/>
      <c r="AJT5" s="4"/>
      <c r="AJU5" s="4"/>
      <c r="AJV5" s="4"/>
      <c r="AJW5" s="4"/>
      <c r="AJX5" s="4"/>
      <c r="AJY5" s="4"/>
      <c r="AJZ5" s="4"/>
      <c r="AKA5" s="4"/>
      <c r="AKB5" s="4"/>
      <c r="AKC5" s="4"/>
      <c r="AKD5" s="4"/>
      <c r="AKE5" s="4"/>
      <c r="AKF5" s="4"/>
      <c r="AKG5" s="4"/>
      <c r="AKH5" s="4"/>
      <c r="AKI5" s="4"/>
      <c r="AKJ5" s="4"/>
      <c r="AKK5" s="4"/>
      <c r="AKL5" s="4"/>
      <c r="AKM5" s="4"/>
      <c r="AKN5" s="4"/>
      <c r="AKO5" s="4"/>
      <c r="AKP5" s="4"/>
      <c r="AKQ5" s="4"/>
      <c r="AKR5" s="4"/>
      <c r="AKS5" s="4"/>
      <c r="AKT5" s="4"/>
      <c r="AKU5" s="4"/>
      <c r="AKV5" s="4"/>
      <c r="AKW5" s="4"/>
      <c r="AKX5" s="4"/>
      <c r="AKY5" s="4"/>
      <c r="AKZ5" s="4"/>
      <c r="ALA5" s="4"/>
      <c r="ALB5" s="4"/>
      <c r="ALC5" s="4"/>
      <c r="ALD5" s="4"/>
      <c r="ALE5" s="4"/>
      <c r="ALF5" s="4"/>
      <c r="ALG5" s="4"/>
      <c r="ALH5" s="4"/>
      <c r="ALI5" s="4"/>
      <c r="ALJ5" s="4"/>
      <c r="ALK5" s="4"/>
      <c r="ALL5" s="4"/>
    </row>
    <row r="6">
      <c r="A6" s="27" t="s">
        <v>23</v>
      </c>
      <c r="B6" s="8">
        <v>150.0</v>
      </c>
      <c r="C6" s="8">
        <v>0.0</v>
      </c>
      <c r="D6" s="8">
        <v>0.0</v>
      </c>
      <c r="E6" s="8">
        <v>67.0</v>
      </c>
      <c r="F6" s="8">
        <v>0.0</v>
      </c>
      <c r="G6" s="8">
        <v>0.0</v>
      </c>
      <c r="H6" s="8">
        <v>0.0</v>
      </c>
      <c r="I6" s="8">
        <v>2.0</v>
      </c>
      <c r="J6" s="8">
        <v>1.0</v>
      </c>
      <c r="K6" s="8">
        <v>1.0</v>
      </c>
      <c r="L6" s="8">
        <v>0.0</v>
      </c>
      <c r="M6" s="8">
        <v>5.0</v>
      </c>
      <c r="N6" s="8">
        <v>29.0</v>
      </c>
      <c r="O6" s="8">
        <v>0.0</v>
      </c>
      <c r="P6" s="8">
        <v>0.0</v>
      </c>
      <c r="Q6" s="8">
        <v>0.0</v>
      </c>
      <c r="R6" s="8">
        <v>12.0</v>
      </c>
      <c r="S6" s="8">
        <v>4.0</v>
      </c>
      <c r="T6" s="8">
        <v>28.0</v>
      </c>
      <c r="U6" s="8">
        <v>0.0</v>
      </c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4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4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  <c r="AAE6" s="4"/>
      <c r="AAF6" s="4"/>
      <c r="AAG6" s="4"/>
      <c r="AAH6" s="4"/>
      <c r="AAI6" s="4"/>
      <c r="AAJ6" s="4"/>
      <c r="AAK6" s="4"/>
      <c r="AAL6" s="4"/>
      <c r="AAM6" s="4"/>
      <c r="AAN6" s="4"/>
      <c r="AAO6" s="4"/>
      <c r="AAP6" s="4"/>
      <c r="AAQ6" s="4"/>
      <c r="AAR6" s="4"/>
      <c r="AAS6" s="4"/>
      <c r="AAT6" s="4"/>
      <c r="AAU6" s="4"/>
      <c r="AAV6" s="4"/>
      <c r="AAW6" s="4"/>
      <c r="AAX6" s="4"/>
      <c r="AAY6" s="4"/>
      <c r="AAZ6" s="4"/>
      <c r="ABA6" s="4"/>
      <c r="ABB6" s="4"/>
      <c r="ABC6" s="4"/>
      <c r="ABD6" s="4"/>
      <c r="ABE6" s="4"/>
      <c r="ABF6" s="4"/>
      <c r="ABG6" s="4"/>
      <c r="ABH6" s="4"/>
      <c r="ABI6" s="4"/>
      <c r="ABJ6" s="4"/>
      <c r="ABK6" s="4"/>
      <c r="ABL6" s="4"/>
      <c r="ABM6" s="4"/>
      <c r="ABN6" s="4"/>
      <c r="ABO6" s="4"/>
      <c r="ABP6" s="4"/>
      <c r="ABQ6" s="4"/>
      <c r="ABR6" s="4"/>
      <c r="ABS6" s="4"/>
      <c r="ABT6" s="4"/>
      <c r="ABU6" s="4"/>
      <c r="ABV6" s="4"/>
      <c r="ABW6" s="4"/>
      <c r="ABX6" s="4"/>
      <c r="ABY6" s="4"/>
      <c r="ABZ6" s="4"/>
      <c r="ACA6" s="4"/>
      <c r="ACB6" s="4"/>
      <c r="ACC6" s="4"/>
      <c r="ACD6" s="4"/>
      <c r="ACE6" s="4"/>
      <c r="ACF6" s="4"/>
      <c r="ACG6" s="4"/>
      <c r="ACH6" s="4"/>
      <c r="ACI6" s="4"/>
      <c r="ACJ6" s="4"/>
      <c r="ACK6" s="4"/>
      <c r="ACL6" s="4"/>
      <c r="ACM6" s="4"/>
      <c r="ACN6" s="4"/>
      <c r="ACO6" s="4"/>
      <c r="ACP6" s="4"/>
      <c r="ACQ6" s="4"/>
      <c r="ACR6" s="4"/>
      <c r="ACS6" s="4"/>
      <c r="ACT6" s="4"/>
      <c r="ACU6" s="4"/>
      <c r="ACV6" s="4"/>
      <c r="ACW6" s="4"/>
      <c r="ACX6" s="4"/>
      <c r="ACY6" s="4"/>
      <c r="ACZ6" s="4"/>
      <c r="ADA6" s="4"/>
      <c r="ADB6" s="4"/>
      <c r="ADC6" s="4"/>
      <c r="ADD6" s="4"/>
      <c r="ADE6" s="4"/>
      <c r="ADF6" s="4"/>
      <c r="ADG6" s="4"/>
      <c r="ADH6" s="4"/>
      <c r="ADI6" s="4"/>
      <c r="ADJ6" s="4"/>
      <c r="ADK6" s="4"/>
      <c r="ADL6" s="4"/>
      <c r="ADM6" s="4"/>
      <c r="ADN6" s="4"/>
      <c r="ADO6" s="4"/>
      <c r="ADP6" s="4"/>
      <c r="ADQ6" s="4"/>
      <c r="ADR6" s="4"/>
      <c r="ADS6" s="4"/>
      <c r="ADT6" s="4"/>
      <c r="ADU6" s="4"/>
      <c r="ADV6" s="4"/>
      <c r="ADW6" s="4"/>
      <c r="ADX6" s="4"/>
      <c r="ADY6" s="4"/>
      <c r="ADZ6" s="4"/>
      <c r="AEA6" s="4"/>
      <c r="AEB6" s="4"/>
      <c r="AEC6" s="4"/>
      <c r="AED6" s="4"/>
      <c r="AEE6" s="4"/>
      <c r="AEF6" s="4"/>
      <c r="AEG6" s="4"/>
      <c r="AEH6" s="4"/>
      <c r="AEI6" s="4"/>
      <c r="AEJ6" s="4"/>
      <c r="AEK6" s="4"/>
      <c r="AEL6" s="4"/>
      <c r="AEM6" s="4"/>
      <c r="AEN6" s="4"/>
      <c r="AEO6" s="4"/>
      <c r="AEP6" s="4"/>
      <c r="AEQ6" s="4"/>
      <c r="AER6" s="4"/>
      <c r="AES6" s="4"/>
      <c r="AET6" s="4"/>
      <c r="AEU6" s="4"/>
      <c r="AEV6" s="4"/>
      <c r="AEW6" s="4"/>
      <c r="AEX6" s="4"/>
      <c r="AEY6" s="4"/>
      <c r="AEZ6" s="4"/>
      <c r="AFA6" s="4"/>
      <c r="AFB6" s="4"/>
      <c r="AFC6" s="4"/>
      <c r="AFD6" s="4"/>
      <c r="AFE6" s="4"/>
      <c r="AFF6" s="4"/>
      <c r="AFG6" s="4"/>
      <c r="AFH6" s="4"/>
      <c r="AFI6" s="4"/>
      <c r="AFJ6" s="4"/>
      <c r="AFK6" s="4"/>
      <c r="AFL6" s="4"/>
      <c r="AFM6" s="4"/>
      <c r="AFN6" s="4"/>
      <c r="AFO6" s="4"/>
      <c r="AFP6" s="4"/>
      <c r="AFQ6" s="4"/>
      <c r="AFR6" s="4"/>
      <c r="AFS6" s="4"/>
      <c r="AFT6" s="4"/>
      <c r="AFU6" s="4"/>
      <c r="AFV6" s="4"/>
      <c r="AFW6" s="4"/>
      <c r="AFX6" s="4"/>
      <c r="AFY6" s="4"/>
      <c r="AFZ6" s="4"/>
      <c r="AGA6" s="4"/>
      <c r="AGB6" s="4"/>
      <c r="AGC6" s="4"/>
      <c r="AGD6" s="4"/>
      <c r="AGE6" s="4"/>
      <c r="AGF6" s="4"/>
      <c r="AGG6" s="4"/>
      <c r="AGH6" s="4"/>
      <c r="AGI6" s="4"/>
      <c r="AGJ6" s="4"/>
      <c r="AGK6" s="4"/>
      <c r="AGL6" s="4"/>
      <c r="AGM6" s="4"/>
      <c r="AGN6" s="4"/>
      <c r="AGO6" s="4"/>
      <c r="AGP6" s="4"/>
      <c r="AGQ6" s="4"/>
      <c r="AGR6" s="4"/>
      <c r="AGS6" s="4"/>
      <c r="AGT6" s="4"/>
      <c r="AGU6" s="4"/>
      <c r="AGV6" s="4"/>
      <c r="AGW6" s="4"/>
      <c r="AGX6" s="4"/>
      <c r="AGY6" s="4"/>
      <c r="AGZ6" s="4"/>
      <c r="AHA6" s="4"/>
      <c r="AHB6" s="4"/>
      <c r="AHC6" s="4"/>
      <c r="AHD6" s="4"/>
      <c r="AHE6" s="4"/>
      <c r="AHF6" s="4"/>
      <c r="AHG6" s="4"/>
      <c r="AHH6" s="4"/>
      <c r="AHI6" s="4"/>
      <c r="AHJ6" s="4"/>
      <c r="AHK6" s="4"/>
      <c r="AHL6" s="4"/>
      <c r="AHM6" s="4"/>
      <c r="AHN6" s="4"/>
      <c r="AHO6" s="4"/>
      <c r="AHP6" s="4"/>
      <c r="AHQ6" s="4"/>
      <c r="AHR6" s="4"/>
      <c r="AHS6" s="4"/>
      <c r="AHT6" s="4"/>
      <c r="AHU6" s="4"/>
      <c r="AHV6" s="4"/>
      <c r="AHW6" s="4"/>
      <c r="AHX6" s="4"/>
      <c r="AHY6" s="4"/>
      <c r="AHZ6" s="4"/>
      <c r="AIA6" s="4"/>
      <c r="AIB6" s="4"/>
      <c r="AIC6" s="4"/>
      <c r="AID6" s="4"/>
      <c r="AIE6" s="4"/>
      <c r="AIF6" s="4"/>
      <c r="AIG6" s="4"/>
      <c r="AIH6" s="4"/>
      <c r="AII6" s="4"/>
      <c r="AIJ6" s="4"/>
      <c r="AIK6" s="4"/>
      <c r="AIL6" s="4"/>
      <c r="AIM6" s="4"/>
      <c r="AIN6" s="4"/>
      <c r="AIO6" s="4"/>
      <c r="AIP6" s="4"/>
      <c r="AIQ6" s="4"/>
      <c r="AIR6" s="4"/>
      <c r="AIS6" s="4"/>
      <c r="AIT6" s="4"/>
      <c r="AIU6" s="4"/>
      <c r="AIV6" s="4"/>
      <c r="AIW6" s="4"/>
      <c r="AIX6" s="4"/>
      <c r="AIY6" s="4"/>
      <c r="AIZ6" s="4"/>
      <c r="AJA6" s="4"/>
      <c r="AJB6" s="4"/>
      <c r="AJC6" s="4"/>
      <c r="AJD6" s="4"/>
      <c r="AJE6" s="4"/>
      <c r="AJF6" s="4"/>
      <c r="AJG6" s="4"/>
      <c r="AJH6" s="4"/>
      <c r="AJI6" s="4"/>
      <c r="AJJ6" s="4"/>
      <c r="AJK6" s="4"/>
      <c r="AJL6" s="4"/>
      <c r="AJM6" s="4"/>
      <c r="AJN6" s="4"/>
      <c r="AJO6" s="4"/>
      <c r="AJP6" s="4"/>
      <c r="AJQ6" s="4"/>
      <c r="AJR6" s="4"/>
      <c r="AJS6" s="4"/>
      <c r="AJT6" s="4"/>
      <c r="AJU6" s="4"/>
      <c r="AJV6" s="4"/>
      <c r="AJW6" s="4"/>
      <c r="AJX6" s="4"/>
      <c r="AJY6" s="4"/>
      <c r="AJZ6" s="4"/>
      <c r="AKA6" s="4"/>
      <c r="AKB6" s="4"/>
      <c r="AKC6" s="4"/>
      <c r="AKD6" s="4"/>
      <c r="AKE6" s="4"/>
      <c r="AKF6" s="4"/>
      <c r="AKG6" s="4"/>
      <c r="AKH6" s="4"/>
      <c r="AKI6" s="4"/>
      <c r="AKJ6" s="4"/>
      <c r="AKK6" s="4"/>
      <c r="AKL6" s="4"/>
      <c r="AKM6" s="4"/>
      <c r="AKN6" s="4"/>
      <c r="AKO6" s="4"/>
      <c r="AKP6" s="4"/>
      <c r="AKQ6" s="4"/>
      <c r="AKR6" s="4"/>
      <c r="AKS6" s="4"/>
      <c r="AKT6" s="4"/>
      <c r="AKU6" s="4"/>
      <c r="AKV6" s="4"/>
      <c r="AKW6" s="4"/>
      <c r="AKX6" s="4"/>
      <c r="AKY6" s="4"/>
      <c r="AKZ6" s="4"/>
      <c r="ALA6" s="4"/>
      <c r="ALB6" s="4"/>
      <c r="ALC6" s="4"/>
      <c r="ALD6" s="4"/>
      <c r="ALE6" s="4"/>
      <c r="ALF6" s="4"/>
      <c r="ALG6" s="4"/>
      <c r="ALH6" s="4"/>
      <c r="ALI6" s="4"/>
      <c r="ALJ6" s="4"/>
      <c r="ALK6" s="4"/>
      <c r="ALL6" s="4"/>
    </row>
    <row r="7">
      <c r="A7" s="26" t="s">
        <v>25</v>
      </c>
      <c r="B7" s="6">
        <v>112.0</v>
      </c>
      <c r="C7" s="6">
        <v>1.0</v>
      </c>
      <c r="D7" s="6">
        <v>1.0</v>
      </c>
      <c r="E7" s="6">
        <v>34.0</v>
      </c>
      <c r="F7" s="6">
        <v>0.0</v>
      </c>
      <c r="G7" s="6">
        <v>0.0</v>
      </c>
      <c r="H7" s="6">
        <v>1.0</v>
      </c>
      <c r="I7" s="6">
        <v>0.0</v>
      </c>
      <c r="J7" s="6">
        <v>6.0</v>
      </c>
      <c r="K7" s="6">
        <v>6.0</v>
      </c>
      <c r="L7" s="6">
        <v>4.0</v>
      </c>
      <c r="M7" s="6">
        <v>11.0</v>
      </c>
      <c r="N7" s="6">
        <v>16.0</v>
      </c>
      <c r="O7" s="6">
        <v>0.0</v>
      </c>
      <c r="P7" s="6">
        <v>1.0</v>
      </c>
      <c r="Q7" s="6">
        <v>9.0</v>
      </c>
      <c r="R7" s="6">
        <v>6.0</v>
      </c>
      <c r="S7" s="6">
        <v>11.0</v>
      </c>
      <c r="T7" s="6">
        <v>5.0</v>
      </c>
      <c r="U7" s="6">
        <v>0.0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  <c r="YI7" s="4"/>
      <c r="YJ7" s="4"/>
      <c r="YK7" s="4"/>
      <c r="YL7" s="4"/>
      <c r="YM7" s="4"/>
      <c r="YN7" s="4"/>
      <c r="YO7" s="4"/>
      <c r="YP7" s="4"/>
      <c r="YQ7" s="4"/>
      <c r="YR7" s="4"/>
      <c r="YS7" s="4"/>
      <c r="YT7" s="4"/>
      <c r="YU7" s="4"/>
      <c r="YV7" s="4"/>
      <c r="YW7" s="4"/>
      <c r="YX7" s="4"/>
      <c r="YY7" s="4"/>
      <c r="YZ7" s="4"/>
      <c r="ZA7" s="4"/>
      <c r="ZB7" s="4"/>
      <c r="ZC7" s="4"/>
      <c r="ZD7" s="4"/>
      <c r="ZE7" s="4"/>
      <c r="ZF7" s="4"/>
      <c r="ZG7" s="4"/>
      <c r="ZH7" s="4"/>
      <c r="ZI7" s="4"/>
      <c r="ZJ7" s="4"/>
      <c r="ZK7" s="4"/>
      <c r="ZL7" s="4"/>
      <c r="ZM7" s="4"/>
      <c r="ZN7" s="4"/>
      <c r="ZO7" s="4"/>
      <c r="ZP7" s="4"/>
      <c r="ZQ7" s="4"/>
      <c r="ZR7" s="4"/>
      <c r="ZS7" s="4"/>
      <c r="ZT7" s="4"/>
      <c r="ZU7" s="4"/>
      <c r="ZV7" s="4"/>
      <c r="ZW7" s="4"/>
      <c r="ZX7" s="4"/>
      <c r="ZY7" s="4"/>
      <c r="ZZ7" s="4"/>
      <c r="AAA7" s="4"/>
      <c r="AAB7" s="4"/>
      <c r="AAC7" s="4"/>
      <c r="AAD7" s="4"/>
      <c r="AAE7" s="4"/>
      <c r="AAF7" s="4"/>
      <c r="AAG7" s="4"/>
      <c r="AAH7" s="4"/>
      <c r="AAI7" s="4"/>
      <c r="AAJ7" s="4"/>
      <c r="AAK7" s="4"/>
      <c r="AAL7" s="4"/>
      <c r="AAM7" s="4"/>
      <c r="AAN7" s="4"/>
      <c r="AAO7" s="4"/>
      <c r="AAP7" s="4"/>
      <c r="AAQ7" s="4"/>
      <c r="AAR7" s="4"/>
      <c r="AAS7" s="4"/>
      <c r="AAT7" s="4"/>
      <c r="AAU7" s="4"/>
      <c r="AAV7" s="4"/>
      <c r="AAW7" s="4"/>
      <c r="AAX7" s="4"/>
      <c r="AAY7" s="4"/>
      <c r="AAZ7" s="4"/>
      <c r="ABA7" s="4"/>
      <c r="ABB7" s="4"/>
      <c r="ABC7" s="4"/>
      <c r="ABD7" s="4"/>
      <c r="ABE7" s="4"/>
      <c r="ABF7" s="4"/>
      <c r="ABG7" s="4"/>
      <c r="ABH7" s="4"/>
      <c r="ABI7" s="4"/>
      <c r="ABJ7" s="4"/>
      <c r="ABK7" s="4"/>
      <c r="ABL7" s="4"/>
      <c r="ABM7" s="4"/>
      <c r="ABN7" s="4"/>
      <c r="ABO7" s="4"/>
      <c r="ABP7" s="4"/>
      <c r="ABQ7" s="4"/>
      <c r="ABR7" s="4"/>
      <c r="ABS7" s="4"/>
      <c r="ABT7" s="4"/>
      <c r="ABU7" s="4"/>
      <c r="ABV7" s="4"/>
      <c r="ABW7" s="4"/>
      <c r="ABX7" s="4"/>
      <c r="ABY7" s="4"/>
      <c r="ABZ7" s="4"/>
      <c r="ACA7" s="4"/>
      <c r="ACB7" s="4"/>
      <c r="ACC7" s="4"/>
      <c r="ACD7" s="4"/>
      <c r="ACE7" s="4"/>
      <c r="ACF7" s="4"/>
      <c r="ACG7" s="4"/>
      <c r="ACH7" s="4"/>
      <c r="ACI7" s="4"/>
      <c r="ACJ7" s="4"/>
      <c r="ACK7" s="4"/>
      <c r="ACL7" s="4"/>
      <c r="ACM7" s="4"/>
      <c r="ACN7" s="4"/>
      <c r="ACO7" s="4"/>
      <c r="ACP7" s="4"/>
      <c r="ACQ7" s="4"/>
      <c r="ACR7" s="4"/>
      <c r="ACS7" s="4"/>
      <c r="ACT7" s="4"/>
      <c r="ACU7" s="4"/>
      <c r="ACV7" s="4"/>
      <c r="ACW7" s="4"/>
      <c r="ACX7" s="4"/>
      <c r="ACY7" s="4"/>
      <c r="ACZ7" s="4"/>
      <c r="ADA7" s="4"/>
      <c r="ADB7" s="4"/>
      <c r="ADC7" s="4"/>
      <c r="ADD7" s="4"/>
      <c r="ADE7" s="4"/>
      <c r="ADF7" s="4"/>
      <c r="ADG7" s="4"/>
      <c r="ADH7" s="4"/>
      <c r="ADI7" s="4"/>
      <c r="ADJ7" s="4"/>
      <c r="ADK7" s="4"/>
      <c r="ADL7" s="4"/>
      <c r="ADM7" s="4"/>
      <c r="ADN7" s="4"/>
      <c r="ADO7" s="4"/>
      <c r="ADP7" s="4"/>
      <c r="ADQ7" s="4"/>
      <c r="ADR7" s="4"/>
      <c r="ADS7" s="4"/>
      <c r="ADT7" s="4"/>
      <c r="ADU7" s="4"/>
      <c r="ADV7" s="4"/>
      <c r="ADW7" s="4"/>
      <c r="ADX7" s="4"/>
      <c r="ADY7" s="4"/>
      <c r="ADZ7" s="4"/>
      <c r="AEA7" s="4"/>
      <c r="AEB7" s="4"/>
      <c r="AEC7" s="4"/>
      <c r="AED7" s="4"/>
      <c r="AEE7" s="4"/>
      <c r="AEF7" s="4"/>
      <c r="AEG7" s="4"/>
      <c r="AEH7" s="4"/>
      <c r="AEI7" s="4"/>
      <c r="AEJ7" s="4"/>
      <c r="AEK7" s="4"/>
      <c r="AEL7" s="4"/>
      <c r="AEM7" s="4"/>
      <c r="AEN7" s="4"/>
      <c r="AEO7" s="4"/>
      <c r="AEP7" s="4"/>
      <c r="AEQ7" s="4"/>
      <c r="AER7" s="4"/>
      <c r="AES7" s="4"/>
      <c r="AET7" s="4"/>
      <c r="AEU7" s="4"/>
      <c r="AEV7" s="4"/>
      <c r="AEW7" s="4"/>
      <c r="AEX7" s="4"/>
      <c r="AEY7" s="4"/>
      <c r="AEZ7" s="4"/>
      <c r="AFA7" s="4"/>
      <c r="AFB7" s="4"/>
      <c r="AFC7" s="4"/>
      <c r="AFD7" s="4"/>
      <c r="AFE7" s="4"/>
      <c r="AFF7" s="4"/>
      <c r="AFG7" s="4"/>
      <c r="AFH7" s="4"/>
      <c r="AFI7" s="4"/>
      <c r="AFJ7" s="4"/>
      <c r="AFK7" s="4"/>
      <c r="AFL7" s="4"/>
      <c r="AFM7" s="4"/>
      <c r="AFN7" s="4"/>
      <c r="AFO7" s="4"/>
      <c r="AFP7" s="4"/>
      <c r="AFQ7" s="4"/>
      <c r="AFR7" s="4"/>
      <c r="AFS7" s="4"/>
      <c r="AFT7" s="4"/>
      <c r="AFU7" s="4"/>
      <c r="AFV7" s="4"/>
      <c r="AFW7" s="4"/>
      <c r="AFX7" s="4"/>
      <c r="AFY7" s="4"/>
      <c r="AFZ7" s="4"/>
      <c r="AGA7" s="4"/>
      <c r="AGB7" s="4"/>
      <c r="AGC7" s="4"/>
      <c r="AGD7" s="4"/>
      <c r="AGE7" s="4"/>
      <c r="AGF7" s="4"/>
      <c r="AGG7" s="4"/>
      <c r="AGH7" s="4"/>
      <c r="AGI7" s="4"/>
      <c r="AGJ7" s="4"/>
      <c r="AGK7" s="4"/>
      <c r="AGL7" s="4"/>
      <c r="AGM7" s="4"/>
      <c r="AGN7" s="4"/>
      <c r="AGO7" s="4"/>
      <c r="AGP7" s="4"/>
      <c r="AGQ7" s="4"/>
      <c r="AGR7" s="4"/>
      <c r="AGS7" s="4"/>
      <c r="AGT7" s="4"/>
      <c r="AGU7" s="4"/>
      <c r="AGV7" s="4"/>
      <c r="AGW7" s="4"/>
      <c r="AGX7" s="4"/>
      <c r="AGY7" s="4"/>
      <c r="AGZ7" s="4"/>
      <c r="AHA7" s="4"/>
      <c r="AHB7" s="4"/>
      <c r="AHC7" s="4"/>
      <c r="AHD7" s="4"/>
      <c r="AHE7" s="4"/>
      <c r="AHF7" s="4"/>
      <c r="AHG7" s="4"/>
      <c r="AHH7" s="4"/>
      <c r="AHI7" s="4"/>
      <c r="AHJ7" s="4"/>
      <c r="AHK7" s="4"/>
      <c r="AHL7" s="4"/>
      <c r="AHM7" s="4"/>
      <c r="AHN7" s="4"/>
      <c r="AHO7" s="4"/>
      <c r="AHP7" s="4"/>
      <c r="AHQ7" s="4"/>
      <c r="AHR7" s="4"/>
      <c r="AHS7" s="4"/>
      <c r="AHT7" s="4"/>
      <c r="AHU7" s="4"/>
      <c r="AHV7" s="4"/>
      <c r="AHW7" s="4"/>
      <c r="AHX7" s="4"/>
      <c r="AHY7" s="4"/>
      <c r="AHZ7" s="4"/>
      <c r="AIA7" s="4"/>
      <c r="AIB7" s="4"/>
      <c r="AIC7" s="4"/>
      <c r="AID7" s="4"/>
      <c r="AIE7" s="4"/>
      <c r="AIF7" s="4"/>
      <c r="AIG7" s="4"/>
      <c r="AIH7" s="4"/>
      <c r="AII7" s="4"/>
      <c r="AIJ7" s="4"/>
      <c r="AIK7" s="4"/>
      <c r="AIL7" s="4"/>
      <c r="AIM7" s="4"/>
      <c r="AIN7" s="4"/>
      <c r="AIO7" s="4"/>
      <c r="AIP7" s="4"/>
      <c r="AIQ7" s="4"/>
      <c r="AIR7" s="4"/>
      <c r="AIS7" s="4"/>
      <c r="AIT7" s="4"/>
      <c r="AIU7" s="4"/>
      <c r="AIV7" s="4"/>
      <c r="AIW7" s="4"/>
      <c r="AIX7" s="4"/>
      <c r="AIY7" s="4"/>
      <c r="AIZ7" s="4"/>
      <c r="AJA7" s="4"/>
      <c r="AJB7" s="4"/>
      <c r="AJC7" s="4"/>
      <c r="AJD7" s="4"/>
      <c r="AJE7" s="4"/>
      <c r="AJF7" s="4"/>
      <c r="AJG7" s="4"/>
      <c r="AJH7" s="4"/>
      <c r="AJI7" s="4"/>
      <c r="AJJ7" s="4"/>
      <c r="AJK7" s="4"/>
      <c r="AJL7" s="4"/>
      <c r="AJM7" s="4"/>
      <c r="AJN7" s="4"/>
      <c r="AJO7" s="4"/>
      <c r="AJP7" s="4"/>
      <c r="AJQ7" s="4"/>
      <c r="AJR7" s="4"/>
      <c r="AJS7" s="4"/>
      <c r="AJT7" s="4"/>
      <c r="AJU7" s="4"/>
      <c r="AJV7" s="4"/>
      <c r="AJW7" s="4"/>
      <c r="AJX7" s="4"/>
      <c r="AJY7" s="4"/>
      <c r="AJZ7" s="4"/>
      <c r="AKA7" s="4"/>
      <c r="AKB7" s="4"/>
      <c r="AKC7" s="4"/>
      <c r="AKD7" s="4"/>
      <c r="AKE7" s="4"/>
      <c r="AKF7" s="4"/>
      <c r="AKG7" s="4"/>
      <c r="AKH7" s="4"/>
      <c r="AKI7" s="4"/>
      <c r="AKJ7" s="4"/>
      <c r="AKK7" s="4"/>
      <c r="AKL7" s="4"/>
      <c r="AKM7" s="4"/>
      <c r="AKN7" s="4"/>
      <c r="AKO7" s="4"/>
      <c r="AKP7" s="4"/>
      <c r="AKQ7" s="4"/>
      <c r="AKR7" s="4"/>
      <c r="AKS7" s="4"/>
      <c r="AKT7" s="4"/>
      <c r="AKU7" s="4"/>
      <c r="AKV7" s="4"/>
      <c r="AKW7" s="4"/>
      <c r="AKX7" s="4"/>
      <c r="AKY7" s="4"/>
      <c r="AKZ7" s="4"/>
      <c r="ALA7" s="4"/>
      <c r="ALB7" s="4"/>
      <c r="ALC7" s="4"/>
      <c r="ALD7" s="4"/>
      <c r="ALE7" s="4"/>
      <c r="ALF7" s="4"/>
      <c r="ALG7" s="4"/>
      <c r="ALH7" s="4"/>
      <c r="ALI7" s="4"/>
      <c r="ALJ7" s="4"/>
      <c r="ALK7" s="4"/>
      <c r="ALL7" s="4"/>
    </row>
    <row r="8">
      <c r="A8" s="27" t="s">
        <v>26</v>
      </c>
      <c r="B8" s="8">
        <v>70.0</v>
      </c>
      <c r="C8" s="8">
        <v>0.0</v>
      </c>
      <c r="D8" s="8">
        <v>2.0</v>
      </c>
      <c r="E8" s="8">
        <v>21.0</v>
      </c>
      <c r="F8" s="8">
        <v>2.0</v>
      </c>
      <c r="G8" s="8">
        <v>0.0</v>
      </c>
      <c r="H8" s="8">
        <v>0.0</v>
      </c>
      <c r="I8" s="8">
        <v>0.0</v>
      </c>
      <c r="J8" s="8">
        <v>0.0</v>
      </c>
      <c r="K8" s="8">
        <v>7.0</v>
      </c>
      <c r="L8" s="8">
        <v>2.0</v>
      </c>
      <c r="M8" s="8">
        <v>1.0</v>
      </c>
      <c r="N8" s="8">
        <v>7.0</v>
      </c>
      <c r="O8" s="8">
        <v>4.0</v>
      </c>
      <c r="P8" s="8">
        <v>0.0</v>
      </c>
      <c r="Q8" s="8">
        <v>1.0</v>
      </c>
      <c r="R8" s="8">
        <v>3.0</v>
      </c>
      <c r="S8" s="8">
        <v>17.0</v>
      </c>
      <c r="T8" s="8">
        <v>3.0</v>
      </c>
      <c r="U8" s="8">
        <v>0.0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</row>
    <row r="9">
      <c r="A9" s="26" t="s">
        <v>28</v>
      </c>
      <c r="B9" s="6">
        <v>152.0</v>
      </c>
      <c r="C9" s="6">
        <v>26.0</v>
      </c>
      <c r="D9" s="6">
        <v>0.0</v>
      </c>
      <c r="E9" s="6">
        <v>36.0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15.0</v>
      </c>
      <c r="L9" s="6">
        <v>1.0</v>
      </c>
      <c r="M9" s="6">
        <v>5.0</v>
      </c>
      <c r="N9" s="6">
        <v>30.0</v>
      </c>
      <c r="O9" s="6">
        <v>0.0</v>
      </c>
      <c r="P9" s="6">
        <v>0.0</v>
      </c>
      <c r="Q9" s="6">
        <v>1.0</v>
      </c>
      <c r="R9" s="6">
        <v>9.0</v>
      </c>
      <c r="S9" s="6">
        <v>14.0</v>
      </c>
      <c r="T9" s="6">
        <v>12.0</v>
      </c>
      <c r="U9" s="6">
        <v>0.0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</row>
    <row r="10">
      <c r="A10" s="27" t="s">
        <v>29</v>
      </c>
      <c r="B10" s="8">
        <v>100.0</v>
      </c>
      <c r="C10" s="8">
        <v>3.0</v>
      </c>
      <c r="D10" s="8">
        <v>3.0</v>
      </c>
      <c r="E10" s="8">
        <v>1.0</v>
      </c>
      <c r="F10" s="8">
        <v>9.0</v>
      </c>
      <c r="G10" s="8">
        <v>5.0</v>
      </c>
      <c r="H10" s="8">
        <v>1.0</v>
      </c>
      <c r="I10" s="8">
        <v>1.0</v>
      </c>
      <c r="J10" s="8">
        <v>0.0</v>
      </c>
      <c r="K10" s="8">
        <v>0.0</v>
      </c>
      <c r="L10" s="8">
        <v>3.0</v>
      </c>
      <c r="M10" s="8">
        <v>1.0</v>
      </c>
      <c r="N10" s="8">
        <v>30.0</v>
      </c>
      <c r="O10" s="8">
        <v>1.0</v>
      </c>
      <c r="P10" s="8">
        <v>0.0</v>
      </c>
      <c r="Q10" s="8">
        <v>0.0</v>
      </c>
      <c r="R10" s="8">
        <v>13.0</v>
      </c>
      <c r="S10" s="8">
        <v>19.0</v>
      </c>
      <c r="T10" s="8">
        <v>9.0</v>
      </c>
      <c r="U10" s="8">
        <v>1.0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</row>
    <row r="11">
      <c r="A11" s="27" t="s">
        <v>30</v>
      </c>
      <c r="B11" s="8">
        <v>116.0</v>
      </c>
      <c r="C11" s="8">
        <v>9.0</v>
      </c>
      <c r="D11" s="8">
        <v>0.0</v>
      </c>
      <c r="E11" s="8">
        <v>33.0</v>
      </c>
      <c r="F11" s="8">
        <v>0.0</v>
      </c>
      <c r="G11" s="8">
        <v>0.0</v>
      </c>
      <c r="H11" s="8">
        <v>0.0</v>
      </c>
      <c r="I11" s="8">
        <v>0.0</v>
      </c>
      <c r="J11" s="8">
        <v>0.0</v>
      </c>
      <c r="K11" s="8">
        <v>9.0</v>
      </c>
      <c r="L11" s="8">
        <v>1.0</v>
      </c>
      <c r="M11" s="8">
        <v>10.0</v>
      </c>
      <c r="N11" s="8">
        <v>16.0</v>
      </c>
      <c r="O11" s="8">
        <v>0.0</v>
      </c>
      <c r="P11" s="8">
        <v>0.0</v>
      </c>
      <c r="Q11" s="8">
        <v>2.0</v>
      </c>
      <c r="R11" s="8">
        <v>7.0</v>
      </c>
      <c r="S11" s="8">
        <v>26.0</v>
      </c>
      <c r="T11" s="8">
        <v>3.0</v>
      </c>
      <c r="U11" s="8">
        <v>0.0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4"/>
      <c r="AEY11" s="4"/>
      <c r="AEZ11" s="4"/>
      <c r="AFA11" s="4"/>
      <c r="AFB11" s="4"/>
      <c r="AFC11" s="4"/>
      <c r="AFD11" s="4"/>
      <c r="AFE11" s="4"/>
      <c r="AFF11" s="4"/>
      <c r="AFG11" s="4"/>
      <c r="AFH11" s="4"/>
      <c r="AFI11" s="4"/>
      <c r="AFJ11" s="4"/>
      <c r="AFK11" s="4"/>
      <c r="AFL11" s="4"/>
      <c r="AFM11" s="4"/>
      <c r="AFN11" s="4"/>
      <c r="AFO11" s="4"/>
      <c r="AFP11" s="4"/>
      <c r="AFQ11" s="4"/>
      <c r="AFR11" s="4"/>
      <c r="AFS11" s="4"/>
      <c r="AFT11" s="4"/>
      <c r="AFU11" s="4"/>
      <c r="AFV11" s="4"/>
      <c r="AFW11" s="4"/>
      <c r="AFX11" s="4"/>
      <c r="AFY11" s="4"/>
      <c r="AFZ11" s="4"/>
      <c r="AGA11" s="4"/>
      <c r="AGB11" s="4"/>
      <c r="AGC11" s="4"/>
      <c r="AGD11" s="4"/>
      <c r="AGE11" s="4"/>
      <c r="AGF11" s="4"/>
      <c r="AGG11" s="4"/>
      <c r="AGH11" s="4"/>
      <c r="AGI11" s="4"/>
      <c r="AGJ11" s="4"/>
      <c r="AGK11" s="4"/>
      <c r="AGL11" s="4"/>
      <c r="AGM11" s="4"/>
      <c r="AGN11" s="4"/>
      <c r="AGO11" s="4"/>
      <c r="AGP11" s="4"/>
      <c r="AGQ11" s="4"/>
      <c r="AGR11" s="4"/>
      <c r="AGS11" s="4"/>
      <c r="AGT11" s="4"/>
      <c r="AGU11" s="4"/>
      <c r="AGV11" s="4"/>
      <c r="AGW11" s="4"/>
      <c r="AGX11" s="4"/>
      <c r="AGY11" s="4"/>
      <c r="AGZ11" s="4"/>
      <c r="AHA11" s="4"/>
      <c r="AHB11" s="4"/>
      <c r="AHC11" s="4"/>
      <c r="AHD11" s="4"/>
      <c r="AHE11" s="4"/>
      <c r="AHF11" s="4"/>
      <c r="AHG11" s="4"/>
      <c r="AHH11" s="4"/>
      <c r="AHI11" s="4"/>
      <c r="AHJ11" s="4"/>
      <c r="AHK11" s="4"/>
      <c r="AHL11" s="4"/>
      <c r="AHM11" s="4"/>
      <c r="AHN11" s="4"/>
      <c r="AHO11" s="4"/>
      <c r="AHP11" s="4"/>
      <c r="AHQ11" s="4"/>
      <c r="AHR11" s="4"/>
      <c r="AHS11" s="4"/>
      <c r="AHT11" s="4"/>
      <c r="AHU11" s="4"/>
      <c r="AHV11" s="4"/>
      <c r="AHW11" s="4"/>
      <c r="AHX11" s="4"/>
      <c r="AHY11" s="4"/>
      <c r="AHZ11" s="4"/>
      <c r="AIA11" s="4"/>
      <c r="AIB11" s="4"/>
      <c r="AIC11" s="4"/>
      <c r="AID11" s="4"/>
      <c r="AIE11" s="4"/>
      <c r="AIF11" s="4"/>
      <c r="AIG11" s="4"/>
      <c r="AIH11" s="4"/>
      <c r="AII11" s="4"/>
      <c r="AIJ11" s="4"/>
      <c r="AIK11" s="4"/>
      <c r="AIL11" s="4"/>
      <c r="AIM11" s="4"/>
      <c r="AIN11" s="4"/>
      <c r="AIO11" s="4"/>
      <c r="AIP11" s="4"/>
      <c r="AIQ11" s="4"/>
      <c r="AIR11" s="4"/>
      <c r="AIS11" s="4"/>
      <c r="AIT11" s="4"/>
      <c r="AIU11" s="4"/>
      <c r="AIV11" s="4"/>
      <c r="AIW11" s="4"/>
      <c r="AIX11" s="4"/>
      <c r="AIY11" s="4"/>
      <c r="AIZ11" s="4"/>
      <c r="AJA11" s="4"/>
      <c r="AJB11" s="4"/>
      <c r="AJC11" s="4"/>
      <c r="AJD11" s="4"/>
      <c r="AJE11" s="4"/>
      <c r="AJF11" s="4"/>
      <c r="AJG11" s="4"/>
      <c r="AJH11" s="4"/>
      <c r="AJI11" s="4"/>
      <c r="AJJ11" s="4"/>
      <c r="AJK11" s="4"/>
      <c r="AJL11" s="4"/>
      <c r="AJM11" s="4"/>
      <c r="AJN11" s="4"/>
      <c r="AJO11" s="4"/>
      <c r="AJP11" s="4"/>
      <c r="AJQ11" s="4"/>
      <c r="AJR11" s="4"/>
      <c r="AJS11" s="4"/>
      <c r="AJT11" s="4"/>
      <c r="AJU11" s="4"/>
      <c r="AJV11" s="4"/>
      <c r="AJW11" s="4"/>
      <c r="AJX11" s="4"/>
      <c r="AJY11" s="4"/>
      <c r="AJZ11" s="4"/>
      <c r="AKA11" s="4"/>
      <c r="AKB11" s="4"/>
      <c r="AKC11" s="4"/>
      <c r="AKD11" s="4"/>
      <c r="AKE11" s="4"/>
      <c r="AKF11" s="4"/>
      <c r="AKG11" s="4"/>
      <c r="AKH11" s="4"/>
      <c r="AKI11" s="4"/>
      <c r="AKJ11" s="4"/>
      <c r="AKK11" s="4"/>
      <c r="AKL11" s="4"/>
      <c r="AKM11" s="4"/>
      <c r="AKN11" s="4"/>
      <c r="AKO11" s="4"/>
      <c r="AKP11" s="4"/>
      <c r="AKQ11" s="4"/>
      <c r="AKR11" s="4"/>
      <c r="AKS11" s="4"/>
      <c r="AKT11" s="4"/>
      <c r="AKU11" s="4"/>
      <c r="AKV11" s="4"/>
      <c r="AKW11" s="4"/>
      <c r="AKX11" s="4"/>
      <c r="AKY11" s="4"/>
      <c r="AKZ11" s="4"/>
      <c r="ALA11" s="4"/>
      <c r="ALB11" s="4"/>
      <c r="ALC11" s="4"/>
      <c r="ALD11" s="4"/>
      <c r="ALE11" s="4"/>
      <c r="ALF11" s="4"/>
      <c r="ALG11" s="4"/>
      <c r="ALH11" s="4"/>
      <c r="ALI11" s="4"/>
      <c r="ALJ11" s="4"/>
      <c r="ALK11" s="4"/>
      <c r="ALL11" s="4"/>
    </row>
    <row r="12">
      <c r="A12" s="26" t="s">
        <v>32</v>
      </c>
      <c r="B12" s="6">
        <v>175.0</v>
      </c>
      <c r="C12" s="6">
        <v>43.0</v>
      </c>
      <c r="D12" s="6">
        <v>3.0</v>
      </c>
      <c r="E12" s="6">
        <v>47.0</v>
      </c>
      <c r="F12" s="6">
        <v>1.0</v>
      </c>
      <c r="G12" s="6">
        <v>1.0</v>
      </c>
      <c r="H12" s="6">
        <v>1.0</v>
      </c>
      <c r="I12" s="6">
        <v>2.0</v>
      </c>
      <c r="J12" s="6">
        <v>4.0</v>
      </c>
      <c r="K12" s="6">
        <v>1.0</v>
      </c>
      <c r="L12" s="6">
        <v>0.0</v>
      </c>
      <c r="M12" s="6">
        <v>3.0</v>
      </c>
      <c r="N12" s="6">
        <v>35.0</v>
      </c>
      <c r="O12" s="6">
        <v>0.0</v>
      </c>
      <c r="P12" s="6">
        <v>1.0</v>
      </c>
      <c r="Q12" s="6">
        <v>1.0</v>
      </c>
      <c r="R12" s="6">
        <v>9.0</v>
      </c>
      <c r="S12" s="6">
        <v>21.0</v>
      </c>
      <c r="T12" s="6">
        <v>2.0</v>
      </c>
      <c r="U12" s="6">
        <v>0.0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"/>
      <c r="OV12" s="4"/>
      <c r="OW12" s="4"/>
      <c r="OX12" s="4"/>
      <c r="OY12" s="4"/>
      <c r="OZ12" s="4"/>
      <c r="PA12" s="4"/>
      <c r="PB12" s="4"/>
      <c r="PC12" s="4"/>
      <c r="PD12" s="4"/>
      <c r="PE12" s="4"/>
      <c r="PF12" s="4"/>
      <c r="PG12" s="4"/>
      <c r="PH12" s="4"/>
      <c r="PI12" s="4"/>
      <c r="PJ12" s="4"/>
      <c r="PK12" s="4"/>
      <c r="PL12" s="4"/>
      <c r="PM12" s="4"/>
      <c r="PN12" s="4"/>
      <c r="PO12" s="4"/>
      <c r="PP12" s="4"/>
      <c r="PQ12" s="4"/>
      <c r="PR12" s="4"/>
      <c r="PS12" s="4"/>
      <c r="PT12" s="4"/>
      <c r="PU12" s="4"/>
      <c r="PV12" s="4"/>
      <c r="PW12" s="4"/>
      <c r="PX12" s="4"/>
      <c r="PY12" s="4"/>
      <c r="PZ12" s="4"/>
      <c r="QA12" s="4"/>
      <c r="QB12" s="4"/>
      <c r="QC12" s="4"/>
      <c r="QD12" s="4"/>
      <c r="QE12" s="4"/>
      <c r="QF12" s="4"/>
      <c r="QG12" s="4"/>
      <c r="QH12" s="4"/>
      <c r="QI12" s="4"/>
      <c r="QJ12" s="4"/>
      <c r="QK12" s="4"/>
      <c r="QL12" s="4"/>
      <c r="QM12" s="4"/>
      <c r="QN12" s="4"/>
      <c r="QO12" s="4"/>
      <c r="QP12" s="4"/>
      <c r="QQ12" s="4"/>
      <c r="QR12" s="4"/>
      <c r="QS12" s="4"/>
      <c r="QT12" s="4"/>
      <c r="QU12" s="4"/>
      <c r="QV12" s="4"/>
      <c r="QW12" s="4"/>
      <c r="QX12" s="4"/>
      <c r="QY12" s="4"/>
      <c r="QZ12" s="4"/>
      <c r="RA12" s="4"/>
      <c r="RB12" s="4"/>
      <c r="RC12" s="4"/>
      <c r="RD12" s="4"/>
      <c r="RE12" s="4"/>
      <c r="RF12" s="4"/>
      <c r="RG12" s="4"/>
      <c r="RH12" s="4"/>
      <c r="RI12" s="4"/>
      <c r="RJ12" s="4"/>
      <c r="RK12" s="4"/>
      <c r="RL12" s="4"/>
      <c r="RM12" s="4"/>
      <c r="RN12" s="4"/>
      <c r="RO12" s="4"/>
      <c r="RP12" s="4"/>
      <c r="RQ12" s="4"/>
      <c r="RR12" s="4"/>
      <c r="RS12" s="4"/>
      <c r="RT12" s="4"/>
      <c r="RU12" s="4"/>
      <c r="RV12" s="4"/>
      <c r="RW12" s="4"/>
      <c r="RX12" s="4"/>
      <c r="RY12" s="4"/>
      <c r="RZ12" s="4"/>
      <c r="SA12" s="4"/>
      <c r="SB12" s="4"/>
      <c r="SC12" s="4"/>
      <c r="SD12" s="4"/>
      <c r="SE12" s="4"/>
      <c r="SF12" s="4"/>
      <c r="SG12" s="4"/>
      <c r="SH12" s="4"/>
      <c r="SI12" s="4"/>
      <c r="SJ12" s="4"/>
      <c r="SK12" s="4"/>
      <c r="SL12" s="4"/>
      <c r="SM12" s="4"/>
      <c r="SN12" s="4"/>
      <c r="SO12" s="4"/>
      <c r="SP12" s="4"/>
      <c r="SQ12" s="4"/>
      <c r="SR12" s="4"/>
      <c r="SS12" s="4"/>
      <c r="ST12" s="4"/>
      <c r="SU12" s="4"/>
      <c r="SV12" s="4"/>
      <c r="SW12" s="4"/>
      <c r="SX12" s="4"/>
      <c r="SY12" s="4"/>
      <c r="SZ12" s="4"/>
      <c r="TA12" s="4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</row>
    <row r="13">
      <c r="A13" s="27" t="s">
        <v>33</v>
      </c>
      <c r="B13" s="8">
        <v>38.0</v>
      </c>
      <c r="C13" s="8">
        <v>0.0</v>
      </c>
      <c r="D13" s="8">
        <v>0.0</v>
      </c>
      <c r="E13" s="8">
        <v>7.0</v>
      </c>
      <c r="F13" s="8">
        <v>1.0</v>
      </c>
      <c r="G13" s="8">
        <v>0.0</v>
      </c>
      <c r="H13" s="8">
        <v>1.0</v>
      </c>
      <c r="I13" s="8">
        <v>0.0</v>
      </c>
      <c r="J13" s="8">
        <v>0.0</v>
      </c>
      <c r="K13" s="8">
        <v>0.0</v>
      </c>
      <c r="L13" s="8">
        <v>1.0</v>
      </c>
      <c r="M13" s="8">
        <v>2.0</v>
      </c>
      <c r="N13" s="8">
        <v>8.0</v>
      </c>
      <c r="O13" s="8">
        <v>0.0</v>
      </c>
      <c r="P13" s="8">
        <v>1.0</v>
      </c>
      <c r="Q13" s="8">
        <v>2.0</v>
      </c>
      <c r="R13" s="8">
        <v>1.0</v>
      </c>
      <c r="S13" s="8">
        <v>10.0</v>
      </c>
      <c r="T13" s="8">
        <v>2.0</v>
      </c>
      <c r="U13" s="8">
        <v>0.0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</row>
    <row r="14">
      <c r="A14" s="26" t="s">
        <v>35</v>
      </c>
      <c r="B14" s="6">
        <v>159.0</v>
      </c>
      <c r="C14" s="6">
        <v>12.0</v>
      </c>
      <c r="D14" s="6">
        <v>2.0</v>
      </c>
      <c r="E14" s="6">
        <v>15.0</v>
      </c>
      <c r="F14" s="6">
        <v>3.0</v>
      </c>
      <c r="G14" s="6">
        <v>0.0</v>
      </c>
      <c r="H14" s="6">
        <v>0.0</v>
      </c>
      <c r="I14" s="6">
        <v>13.0</v>
      </c>
      <c r="J14" s="6">
        <v>1.0</v>
      </c>
      <c r="K14" s="6">
        <v>12.0</v>
      </c>
      <c r="L14" s="6">
        <v>4.0</v>
      </c>
      <c r="M14" s="6">
        <v>2.0</v>
      </c>
      <c r="N14" s="6">
        <v>28.0</v>
      </c>
      <c r="O14" s="6">
        <v>5.0</v>
      </c>
      <c r="P14" s="6">
        <v>1.0</v>
      </c>
      <c r="Q14" s="6">
        <v>1.0</v>
      </c>
      <c r="R14" s="6">
        <v>17.0</v>
      </c>
      <c r="S14" s="6">
        <v>29.0</v>
      </c>
      <c r="T14" s="6">
        <v>13.0</v>
      </c>
      <c r="U14" s="6">
        <v>0.0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</row>
    <row r="15">
      <c r="A15" s="27" t="s">
        <v>37</v>
      </c>
      <c r="B15" s="8">
        <v>128.0</v>
      </c>
      <c r="C15" s="8">
        <v>12.0</v>
      </c>
      <c r="D15" s="8">
        <v>2.0</v>
      </c>
      <c r="E15" s="8">
        <v>51.0</v>
      </c>
      <c r="F15" s="8">
        <v>1.0</v>
      </c>
      <c r="G15" s="8">
        <v>1.0</v>
      </c>
      <c r="H15" s="8">
        <v>0.0</v>
      </c>
      <c r="I15" s="8">
        <v>0.0</v>
      </c>
      <c r="J15" s="8">
        <v>0.0</v>
      </c>
      <c r="K15" s="8">
        <v>0.0</v>
      </c>
      <c r="L15" s="8">
        <v>0.0</v>
      </c>
      <c r="M15" s="8">
        <v>0.0</v>
      </c>
      <c r="N15" s="8">
        <v>23.0</v>
      </c>
      <c r="O15" s="8">
        <v>0.0</v>
      </c>
      <c r="P15" s="8">
        <v>0.0</v>
      </c>
      <c r="Q15" s="8">
        <v>1.0</v>
      </c>
      <c r="R15" s="8">
        <v>3.0</v>
      </c>
      <c r="S15" s="8">
        <v>0.0</v>
      </c>
      <c r="T15" s="8">
        <v>34.0</v>
      </c>
      <c r="U15" s="8">
        <v>0.0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</row>
    <row r="16">
      <c r="A16" s="40" t="s">
        <v>38</v>
      </c>
      <c r="B16" s="14">
        <v>132.0</v>
      </c>
      <c r="C16" s="14">
        <v>7.0</v>
      </c>
      <c r="D16" s="14">
        <v>2.0</v>
      </c>
      <c r="E16" s="14">
        <v>18.0</v>
      </c>
      <c r="F16" s="14">
        <v>6.0</v>
      </c>
      <c r="G16" s="14">
        <v>0.0</v>
      </c>
      <c r="H16" s="14">
        <v>0.0</v>
      </c>
      <c r="I16" s="14">
        <v>2.0</v>
      </c>
      <c r="J16" s="14">
        <v>2.0</v>
      </c>
      <c r="K16" s="14">
        <v>8.0</v>
      </c>
      <c r="L16" s="14">
        <v>3.0</v>
      </c>
      <c r="M16" s="14">
        <v>9.0</v>
      </c>
      <c r="N16" s="14">
        <v>25.0</v>
      </c>
      <c r="O16" s="14">
        <v>1.0</v>
      </c>
      <c r="P16" s="14">
        <v>1.0</v>
      </c>
      <c r="Q16" s="14">
        <v>5.0</v>
      </c>
      <c r="R16" s="14">
        <v>10.0</v>
      </c>
      <c r="S16" s="14">
        <v>30.0</v>
      </c>
      <c r="T16" s="14">
        <v>2.0</v>
      </c>
      <c r="U16" s="14">
        <v>0.0</v>
      </c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  <c r="AJG16" s="4"/>
      <c r="AJH16" s="4"/>
      <c r="AJI16" s="4"/>
      <c r="AJJ16" s="4"/>
      <c r="AJK16" s="4"/>
      <c r="AJL16" s="4"/>
      <c r="AJM16" s="4"/>
      <c r="AJN16" s="4"/>
      <c r="AJO16" s="4"/>
      <c r="AJP16" s="4"/>
      <c r="AJQ16" s="4"/>
      <c r="AJR16" s="4"/>
      <c r="AJS16" s="4"/>
      <c r="AJT16" s="4"/>
      <c r="AJU16" s="4"/>
      <c r="AJV16" s="4"/>
      <c r="AJW16" s="4"/>
      <c r="AJX16" s="4"/>
      <c r="AJY16" s="4"/>
      <c r="AJZ16" s="4"/>
      <c r="AKA16" s="4"/>
      <c r="AKB16" s="4"/>
      <c r="AKC16" s="4"/>
      <c r="AKD16" s="4"/>
      <c r="AKE16" s="4"/>
      <c r="AKF16" s="4"/>
      <c r="AKG16" s="4"/>
      <c r="AKH16" s="4"/>
      <c r="AKI16" s="4"/>
      <c r="AKJ16" s="4"/>
      <c r="AKK16" s="4"/>
      <c r="AKL16" s="4"/>
      <c r="AKM16" s="4"/>
      <c r="AKN16" s="4"/>
      <c r="AKO16" s="4"/>
      <c r="AKP16" s="4"/>
      <c r="AKQ16" s="4"/>
      <c r="AKR16" s="4"/>
      <c r="AKS16" s="4"/>
      <c r="AKT16" s="4"/>
      <c r="AKU16" s="4"/>
      <c r="AKV16" s="4"/>
      <c r="AKW16" s="4"/>
      <c r="AKX16" s="4"/>
      <c r="AKY16" s="4"/>
      <c r="AKZ16" s="4"/>
      <c r="ALA16" s="4"/>
      <c r="ALB16" s="4"/>
      <c r="ALC16" s="4"/>
      <c r="ALD16" s="4"/>
      <c r="ALE16" s="4"/>
      <c r="ALF16" s="4"/>
      <c r="ALG16" s="4"/>
      <c r="ALH16" s="4"/>
      <c r="ALI16" s="4"/>
      <c r="ALJ16" s="4"/>
      <c r="ALK16" s="4"/>
      <c r="ALL16" s="4"/>
    </row>
    <row r="17">
      <c r="A17" s="27" t="s">
        <v>40</v>
      </c>
      <c r="B17" s="8">
        <v>167.0</v>
      </c>
      <c r="C17" s="8">
        <v>19.0</v>
      </c>
      <c r="D17" s="8">
        <v>4.0</v>
      </c>
      <c r="E17" s="8">
        <v>15.0</v>
      </c>
      <c r="F17" s="8">
        <v>6.0</v>
      </c>
      <c r="G17" s="8">
        <v>4.0</v>
      </c>
      <c r="H17" s="8">
        <v>0.0</v>
      </c>
      <c r="I17" s="8">
        <v>8.0</v>
      </c>
      <c r="J17" s="8">
        <v>1.0</v>
      </c>
      <c r="K17" s="8">
        <v>4.0</v>
      </c>
      <c r="L17" s="8">
        <v>0.0</v>
      </c>
      <c r="M17" s="8">
        <v>16.0</v>
      </c>
      <c r="N17" s="8">
        <v>33.0</v>
      </c>
      <c r="O17" s="8">
        <v>0.0</v>
      </c>
      <c r="P17" s="8">
        <v>0.0</v>
      </c>
      <c r="Q17" s="8">
        <v>5.0</v>
      </c>
      <c r="R17" s="8">
        <v>2.0</v>
      </c>
      <c r="S17" s="8">
        <v>41.0</v>
      </c>
      <c r="T17" s="8">
        <v>6.0</v>
      </c>
      <c r="U17" s="8">
        <v>0.0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4"/>
      <c r="AEY17" s="4"/>
      <c r="AEZ17" s="4"/>
      <c r="AFA17" s="4"/>
      <c r="AFB17" s="4"/>
      <c r="AFC17" s="4"/>
      <c r="AFD17" s="4"/>
      <c r="AFE17" s="4"/>
      <c r="AFF17" s="4"/>
      <c r="AFG17" s="4"/>
      <c r="AFH17" s="4"/>
      <c r="AFI17" s="4"/>
      <c r="AFJ17" s="4"/>
      <c r="AFK17" s="4"/>
      <c r="AFL17" s="4"/>
      <c r="AFM17" s="4"/>
      <c r="AFN17" s="4"/>
      <c r="AFO17" s="4"/>
      <c r="AFP17" s="4"/>
      <c r="AFQ17" s="4"/>
      <c r="AFR17" s="4"/>
      <c r="AFS17" s="4"/>
      <c r="AFT17" s="4"/>
      <c r="AFU17" s="4"/>
      <c r="AFV17" s="4"/>
      <c r="AFW17" s="4"/>
      <c r="AFX17" s="4"/>
      <c r="AFY17" s="4"/>
      <c r="AFZ17" s="4"/>
      <c r="AGA17" s="4"/>
      <c r="AGB17" s="4"/>
      <c r="AGC17" s="4"/>
      <c r="AGD17" s="4"/>
      <c r="AGE17" s="4"/>
      <c r="AGF17" s="4"/>
      <c r="AGG17" s="4"/>
      <c r="AGH17" s="4"/>
      <c r="AGI17" s="4"/>
      <c r="AGJ17" s="4"/>
      <c r="AGK17" s="4"/>
      <c r="AGL17" s="4"/>
      <c r="AGM17" s="4"/>
      <c r="AGN17" s="4"/>
      <c r="AGO17" s="4"/>
      <c r="AGP17" s="4"/>
      <c r="AGQ17" s="4"/>
      <c r="AGR17" s="4"/>
      <c r="AGS17" s="4"/>
      <c r="AGT17" s="4"/>
      <c r="AGU17" s="4"/>
      <c r="AGV17" s="4"/>
      <c r="AGW17" s="4"/>
      <c r="AGX17" s="4"/>
      <c r="AGY17" s="4"/>
      <c r="AGZ17" s="4"/>
      <c r="AHA17" s="4"/>
      <c r="AHB17" s="4"/>
      <c r="AHC17" s="4"/>
      <c r="AHD17" s="4"/>
      <c r="AHE17" s="4"/>
      <c r="AHF17" s="4"/>
      <c r="AHG17" s="4"/>
      <c r="AHH17" s="4"/>
      <c r="AHI17" s="4"/>
      <c r="AHJ17" s="4"/>
      <c r="AHK17" s="4"/>
      <c r="AHL17" s="4"/>
      <c r="AHM17" s="4"/>
      <c r="AHN17" s="4"/>
      <c r="AHO17" s="4"/>
      <c r="AHP17" s="4"/>
      <c r="AHQ17" s="4"/>
      <c r="AHR17" s="4"/>
      <c r="AHS17" s="4"/>
      <c r="AHT17" s="4"/>
      <c r="AHU17" s="4"/>
      <c r="AHV17" s="4"/>
      <c r="AHW17" s="4"/>
      <c r="AHX17" s="4"/>
      <c r="AHY17" s="4"/>
      <c r="AHZ17" s="4"/>
      <c r="AIA17" s="4"/>
      <c r="AIB17" s="4"/>
      <c r="AIC17" s="4"/>
      <c r="AID17" s="4"/>
      <c r="AIE17" s="4"/>
      <c r="AIF17" s="4"/>
      <c r="AIG17" s="4"/>
      <c r="AIH17" s="4"/>
      <c r="AII17" s="4"/>
      <c r="AIJ17" s="4"/>
      <c r="AIK17" s="4"/>
      <c r="AIL17" s="4"/>
      <c r="AIM17" s="4"/>
      <c r="AIN17" s="4"/>
      <c r="AIO17" s="4"/>
      <c r="AIP17" s="4"/>
      <c r="AIQ17" s="4"/>
      <c r="AIR17" s="4"/>
      <c r="AIS17" s="4"/>
      <c r="AIT17" s="4"/>
      <c r="AIU17" s="4"/>
      <c r="AIV17" s="4"/>
      <c r="AIW17" s="4"/>
      <c r="AIX17" s="4"/>
      <c r="AIY17" s="4"/>
      <c r="AIZ17" s="4"/>
      <c r="AJA17" s="4"/>
      <c r="AJB17" s="4"/>
      <c r="AJC17" s="4"/>
      <c r="AJD17" s="4"/>
      <c r="AJE17" s="4"/>
      <c r="AJF17" s="4"/>
      <c r="AJG17" s="4"/>
      <c r="AJH17" s="4"/>
      <c r="AJI17" s="4"/>
      <c r="AJJ17" s="4"/>
      <c r="AJK17" s="4"/>
      <c r="AJL17" s="4"/>
      <c r="AJM17" s="4"/>
      <c r="AJN17" s="4"/>
      <c r="AJO17" s="4"/>
      <c r="AJP17" s="4"/>
      <c r="AJQ17" s="4"/>
      <c r="AJR17" s="4"/>
      <c r="AJS17" s="4"/>
      <c r="AJT17" s="4"/>
      <c r="AJU17" s="4"/>
      <c r="AJV17" s="4"/>
      <c r="AJW17" s="4"/>
      <c r="AJX17" s="4"/>
      <c r="AJY17" s="4"/>
      <c r="AJZ17" s="4"/>
      <c r="AKA17" s="4"/>
      <c r="AKB17" s="4"/>
      <c r="AKC17" s="4"/>
      <c r="AKD17" s="4"/>
      <c r="AKE17" s="4"/>
      <c r="AKF17" s="4"/>
      <c r="AKG17" s="4"/>
      <c r="AKH17" s="4"/>
      <c r="AKI17" s="4"/>
      <c r="AKJ17" s="4"/>
      <c r="AKK17" s="4"/>
      <c r="AKL17" s="4"/>
      <c r="AKM17" s="4"/>
      <c r="AKN17" s="4"/>
      <c r="AKO17" s="4"/>
      <c r="AKP17" s="4"/>
      <c r="AKQ17" s="4"/>
      <c r="AKR17" s="4"/>
      <c r="AKS17" s="4"/>
      <c r="AKT17" s="4"/>
      <c r="AKU17" s="4"/>
      <c r="AKV17" s="4"/>
      <c r="AKW17" s="4"/>
      <c r="AKX17" s="4"/>
      <c r="AKY17" s="4"/>
      <c r="AKZ17" s="4"/>
      <c r="ALA17" s="4"/>
      <c r="ALB17" s="4"/>
      <c r="ALC17" s="4"/>
      <c r="ALD17" s="4"/>
      <c r="ALE17" s="4"/>
      <c r="ALF17" s="4"/>
      <c r="ALG17" s="4"/>
      <c r="ALH17" s="4"/>
      <c r="ALI17" s="4"/>
      <c r="ALJ17" s="4"/>
      <c r="ALK17" s="4"/>
      <c r="ALL17" s="4"/>
    </row>
    <row r="18">
      <c r="A18" s="40" t="s">
        <v>42</v>
      </c>
      <c r="B18" s="14">
        <v>48.0</v>
      </c>
      <c r="C18" s="14">
        <v>1.0</v>
      </c>
      <c r="D18" s="14">
        <v>0.0</v>
      </c>
      <c r="E18" s="14">
        <v>1.0</v>
      </c>
      <c r="F18" s="14">
        <v>3.0</v>
      </c>
      <c r="G18" s="14">
        <v>0.0</v>
      </c>
      <c r="H18" s="14">
        <v>0.0</v>
      </c>
      <c r="I18" s="14">
        <v>1.0</v>
      </c>
      <c r="J18" s="14">
        <v>1.0</v>
      </c>
      <c r="K18" s="14">
        <v>6.0</v>
      </c>
      <c r="L18" s="14">
        <v>0.0</v>
      </c>
      <c r="M18" s="14">
        <v>0.0</v>
      </c>
      <c r="N18" s="14">
        <v>2.0</v>
      </c>
      <c r="O18" s="14">
        <v>0.0</v>
      </c>
      <c r="P18" s="14">
        <v>0.0</v>
      </c>
      <c r="Q18" s="14">
        <v>2.0</v>
      </c>
      <c r="R18" s="14">
        <v>2.0</v>
      </c>
      <c r="S18" s="14">
        <v>22.0</v>
      </c>
      <c r="T18" s="14">
        <v>7.0</v>
      </c>
      <c r="U18" s="14">
        <v>0.0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4"/>
      <c r="PD18" s="4"/>
      <c r="PE18" s="4"/>
      <c r="PF18" s="4"/>
      <c r="PG18" s="4"/>
      <c r="PH18" s="4"/>
      <c r="PI18" s="4"/>
      <c r="PJ18" s="4"/>
      <c r="PK18" s="4"/>
      <c r="PL18" s="4"/>
      <c r="PM18" s="4"/>
      <c r="PN18" s="4"/>
      <c r="PO18" s="4"/>
      <c r="PP18" s="4"/>
      <c r="PQ18" s="4"/>
      <c r="PR18" s="4"/>
      <c r="PS18" s="4"/>
      <c r="PT18" s="4"/>
      <c r="PU18" s="4"/>
      <c r="PV18" s="4"/>
      <c r="PW18" s="4"/>
      <c r="PX18" s="4"/>
      <c r="PY18" s="4"/>
      <c r="PZ18" s="4"/>
      <c r="QA18" s="4"/>
      <c r="QB18" s="4"/>
      <c r="QC18" s="4"/>
      <c r="QD18" s="4"/>
      <c r="QE18" s="4"/>
      <c r="QF18" s="4"/>
      <c r="QG18" s="4"/>
      <c r="QH18" s="4"/>
      <c r="QI18" s="4"/>
      <c r="QJ18" s="4"/>
      <c r="QK18" s="4"/>
      <c r="QL18" s="4"/>
      <c r="QM18" s="4"/>
      <c r="QN18" s="4"/>
      <c r="QO18" s="4"/>
      <c r="QP18" s="4"/>
      <c r="QQ18" s="4"/>
      <c r="QR18" s="4"/>
      <c r="QS18" s="4"/>
      <c r="QT18" s="4"/>
      <c r="QU18" s="4"/>
      <c r="QV18" s="4"/>
      <c r="QW18" s="4"/>
      <c r="QX18" s="4"/>
      <c r="QY18" s="4"/>
      <c r="QZ18" s="4"/>
      <c r="RA18" s="4"/>
      <c r="RB18" s="4"/>
      <c r="RC18" s="4"/>
      <c r="RD18" s="4"/>
      <c r="RE18" s="4"/>
      <c r="RF18" s="4"/>
      <c r="RG18" s="4"/>
      <c r="RH18" s="4"/>
      <c r="RI18" s="4"/>
      <c r="RJ18" s="4"/>
      <c r="RK18" s="4"/>
      <c r="RL18" s="4"/>
      <c r="RM18" s="4"/>
      <c r="RN18" s="4"/>
      <c r="RO18" s="4"/>
      <c r="RP18" s="4"/>
      <c r="RQ18" s="4"/>
      <c r="RR18" s="4"/>
      <c r="RS18" s="4"/>
      <c r="RT18" s="4"/>
      <c r="RU18" s="4"/>
      <c r="RV18" s="4"/>
      <c r="RW18" s="4"/>
      <c r="RX18" s="4"/>
      <c r="RY18" s="4"/>
      <c r="RZ18" s="4"/>
      <c r="SA18" s="4"/>
      <c r="SB18" s="4"/>
      <c r="SC18" s="4"/>
      <c r="SD18" s="4"/>
      <c r="SE18" s="4"/>
      <c r="SF18" s="4"/>
      <c r="SG18" s="4"/>
      <c r="SH18" s="4"/>
      <c r="SI18" s="4"/>
      <c r="SJ18" s="4"/>
      <c r="SK18" s="4"/>
      <c r="SL18" s="4"/>
      <c r="SM18" s="4"/>
      <c r="SN18" s="4"/>
      <c r="SO18" s="4"/>
      <c r="SP18" s="4"/>
      <c r="SQ18" s="4"/>
      <c r="SR18" s="4"/>
      <c r="SS18" s="4"/>
      <c r="ST18" s="4"/>
      <c r="SU18" s="4"/>
      <c r="SV18" s="4"/>
      <c r="SW18" s="4"/>
      <c r="SX18" s="4"/>
      <c r="SY18" s="4"/>
      <c r="SZ18" s="4"/>
      <c r="TA18" s="4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  <c r="AEL18" s="4"/>
      <c r="AEM18" s="4"/>
      <c r="AEN18" s="4"/>
      <c r="AEO18" s="4"/>
      <c r="AEP18" s="4"/>
      <c r="AEQ18" s="4"/>
      <c r="AER18" s="4"/>
      <c r="AES18" s="4"/>
      <c r="AET18" s="4"/>
      <c r="AEU18" s="4"/>
      <c r="AEV18" s="4"/>
      <c r="AEW18" s="4"/>
      <c r="AEX18" s="4"/>
      <c r="AEY18" s="4"/>
      <c r="AEZ18" s="4"/>
      <c r="AFA18" s="4"/>
      <c r="AFB18" s="4"/>
      <c r="AFC18" s="4"/>
      <c r="AFD18" s="4"/>
      <c r="AFE18" s="4"/>
      <c r="AFF18" s="4"/>
      <c r="AFG18" s="4"/>
      <c r="AFH18" s="4"/>
      <c r="AFI18" s="4"/>
      <c r="AFJ18" s="4"/>
      <c r="AFK18" s="4"/>
      <c r="AFL18" s="4"/>
      <c r="AFM18" s="4"/>
      <c r="AFN18" s="4"/>
      <c r="AFO18" s="4"/>
      <c r="AFP18" s="4"/>
      <c r="AFQ18" s="4"/>
      <c r="AFR18" s="4"/>
      <c r="AFS18" s="4"/>
      <c r="AFT18" s="4"/>
      <c r="AFU18" s="4"/>
      <c r="AFV18" s="4"/>
      <c r="AFW18" s="4"/>
      <c r="AFX18" s="4"/>
      <c r="AFY18" s="4"/>
      <c r="AFZ18" s="4"/>
      <c r="AGA18" s="4"/>
      <c r="AGB18" s="4"/>
      <c r="AGC18" s="4"/>
      <c r="AGD18" s="4"/>
      <c r="AGE18" s="4"/>
      <c r="AGF18" s="4"/>
      <c r="AGG18" s="4"/>
      <c r="AGH18" s="4"/>
      <c r="AGI18" s="4"/>
      <c r="AGJ18" s="4"/>
      <c r="AGK18" s="4"/>
      <c r="AGL18" s="4"/>
      <c r="AGM18" s="4"/>
      <c r="AGN18" s="4"/>
      <c r="AGO18" s="4"/>
      <c r="AGP18" s="4"/>
      <c r="AGQ18" s="4"/>
      <c r="AGR18" s="4"/>
      <c r="AGS18" s="4"/>
      <c r="AGT18" s="4"/>
      <c r="AGU18" s="4"/>
      <c r="AGV18" s="4"/>
      <c r="AGW18" s="4"/>
      <c r="AGX18" s="4"/>
      <c r="AGY18" s="4"/>
      <c r="AGZ18" s="4"/>
      <c r="AHA18" s="4"/>
      <c r="AHB18" s="4"/>
      <c r="AHC18" s="4"/>
      <c r="AHD18" s="4"/>
      <c r="AHE18" s="4"/>
      <c r="AHF18" s="4"/>
      <c r="AHG18" s="4"/>
      <c r="AHH18" s="4"/>
      <c r="AHI18" s="4"/>
      <c r="AHJ18" s="4"/>
      <c r="AHK18" s="4"/>
      <c r="AHL18" s="4"/>
      <c r="AHM18" s="4"/>
      <c r="AHN18" s="4"/>
      <c r="AHO18" s="4"/>
      <c r="AHP18" s="4"/>
      <c r="AHQ18" s="4"/>
      <c r="AHR18" s="4"/>
      <c r="AHS18" s="4"/>
      <c r="AHT18" s="4"/>
      <c r="AHU18" s="4"/>
      <c r="AHV18" s="4"/>
      <c r="AHW18" s="4"/>
      <c r="AHX18" s="4"/>
      <c r="AHY18" s="4"/>
      <c r="AHZ18" s="4"/>
      <c r="AIA18" s="4"/>
      <c r="AIB18" s="4"/>
      <c r="AIC18" s="4"/>
      <c r="AID18" s="4"/>
      <c r="AIE18" s="4"/>
      <c r="AIF18" s="4"/>
      <c r="AIG18" s="4"/>
      <c r="AIH18" s="4"/>
      <c r="AII18" s="4"/>
      <c r="AIJ18" s="4"/>
      <c r="AIK18" s="4"/>
      <c r="AIL18" s="4"/>
      <c r="AIM18" s="4"/>
      <c r="AIN18" s="4"/>
      <c r="AIO18" s="4"/>
      <c r="AIP18" s="4"/>
      <c r="AIQ18" s="4"/>
      <c r="AIR18" s="4"/>
      <c r="AIS18" s="4"/>
      <c r="AIT18" s="4"/>
      <c r="AIU18" s="4"/>
      <c r="AIV18" s="4"/>
      <c r="AIW18" s="4"/>
      <c r="AIX18" s="4"/>
      <c r="AIY18" s="4"/>
      <c r="AIZ18" s="4"/>
      <c r="AJA18" s="4"/>
      <c r="AJB18" s="4"/>
      <c r="AJC18" s="4"/>
      <c r="AJD18" s="4"/>
      <c r="AJE18" s="4"/>
      <c r="AJF18" s="4"/>
      <c r="AJG18" s="4"/>
      <c r="AJH18" s="4"/>
      <c r="AJI18" s="4"/>
      <c r="AJJ18" s="4"/>
      <c r="AJK18" s="4"/>
      <c r="AJL18" s="4"/>
      <c r="AJM18" s="4"/>
      <c r="AJN18" s="4"/>
      <c r="AJO18" s="4"/>
      <c r="AJP18" s="4"/>
      <c r="AJQ18" s="4"/>
      <c r="AJR18" s="4"/>
      <c r="AJS18" s="4"/>
      <c r="AJT18" s="4"/>
      <c r="AJU18" s="4"/>
      <c r="AJV18" s="4"/>
      <c r="AJW18" s="4"/>
      <c r="AJX18" s="4"/>
      <c r="AJY18" s="4"/>
      <c r="AJZ18" s="4"/>
      <c r="AKA18" s="4"/>
      <c r="AKB18" s="4"/>
      <c r="AKC18" s="4"/>
      <c r="AKD18" s="4"/>
      <c r="AKE18" s="4"/>
      <c r="AKF18" s="4"/>
      <c r="AKG18" s="4"/>
      <c r="AKH18" s="4"/>
      <c r="AKI18" s="4"/>
      <c r="AKJ18" s="4"/>
      <c r="AKK18" s="4"/>
      <c r="AKL18" s="4"/>
      <c r="AKM18" s="4"/>
      <c r="AKN18" s="4"/>
      <c r="AKO18" s="4"/>
      <c r="AKP18" s="4"/>
      <c r="AKQ18" s="4"/>
      <c r="AKR18" s="4"/>
      <c r="AKS18" s="4"/>
      <c r="AKT18" s="4"/>
      <c r="AKU18" s="4"/>
      <c r="AKV18" s="4"/>
      <c r="AKW18" s="4"/>
      <c r="AKX18" s="4"/>
      <c r="AKY18" s="4"/>
      <c r="AKZ18" s="4"/>
      <c r="ALA18" s="4"/>
      <c r="ALB18" s="4"/>
      <c r="ALC18" s="4"/>
      <c r="ALD18" s="4"/>
      <c r="ALE18" s="4"/>
      <c r="ALF18" s="4"/>
      <c r="ALG18" s="4"/>
      <c r="ALH18" s="4"/>
      <c r="ALI18" s="4"/>
      <c r="ALJ18" s="4"/>
      <c r="ALK18" s="4"/>
      <c r="ALL18" s="4"/>
    </row>
    <row r="19">
      <c r="A19" s="27" t="s">
        <v>44</v>
      </c>
      <c r="B19" s="8">
        <v>15.0</v>
      </c>
      <c r="C19" s="8">
        <v>0.0</v>
      </c>
      <c r="D19" s="8">
        <v>0.0</v>
      </c>
      <c r="E19" s="8">
        <v>1.0</v>
      </c>
      <c r="F19" s="8">
        <v>1.0</v>
      </c>
      <c r="G19" s="8">
        <v>0.0</v>
      </c>
      <c r="H19" s="8">
        <v>0.0</v>
      </c>
      <c r="I19" s="8">
        <v>0.0</v>
      </c>
      <c r="J19" s="8">
        <v>1.0</v>
      </c>
      <c r="K19" s="8">
        <v>1.0</v>
      </c>
      <c r="L19" s="8">
        <v>1.0</v>
      </c>
      <c r="M19" s="8">
        <v>1.0</v>
      </c>
      <c r="N19" s="8">
        <v>4.0</v>
      </c>
      <c r="O19" s="8">
        <v>0.0</v>
      </c>
      <c r="P19" s="8">
        <v>0.0</v>
      </c>
      <c r="Q19" s="8">
        <v>0.0</v>
      </c>
      <c r="R19" s="8">
        <v>0.0</v>
      </c>
      <c r="S19" s="8">
        <v>5.0</v>
      </c>
      <c r="T19" s="8">
        <v>0.0</v>
      </c>
      <c r="U19" s="8">
        <v>0.0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  <c r="PC19" s="4"/>
      <c r="PD19" s="4"/>
      <c r="PE19" s="4"/>
      <c r="PF19" s="4"/>
      <c r="PG19" s="4"/>
      <c r="PH19" s="4"/>
      <c r="PI19" s="4"/>
      <c r="PJ19" s="4"/>
      <c r="PK19" s="4"/>
      <c r="PL19" s="4"/>
      <c r="PM19" s="4"/>
      <c r="PN19" s="4"/>
      <c r="PO19" s="4"/>
      <c r="PP19" s="4"/>
      <c r="PQ19" s="4"/>
      <c r="PR19" s="4"/>
      <c r="PS19" s="4"/>
      <c r="PT19" s="4"/>
      <c r="PU19" s="4"/>
      <c r="PV19" s="4"/>
      <c r="PW19" s="4"/>
      <c r="PX19" s="4"/>
      <c r="PY19" s="4"/>
      <c r="PZ19" s="4"/>
      <c r="QA19" s="4"/>
      <c r="QB19" s="4"/>
      <c r="QC19" s="4"/>
      <c r="QD19" s="4"/>
      <c r="QE19" s="4"/>
      <c r="QF19" s="4"/>
      <c r="QG19" s="4"/>
      <c r="QH19" s="4"/>
      <c r="QI19" s="4"/>
      <c r="QJ19" s="4"/>
      <c r="QK19" s="4"/>
      <c r="QL19" s="4"/>
      <c r="QM19" s="4"/>
      <c r="QN19" s="4"/>
      <c r="QO19" s="4"/>
      <c r="QP19" s="4"/>
      <c r="QQ19" s="4"/>
      <c r="QR19" s="4"/>
      <c r="QS19" s="4"/>
      <c r="QT19" s="4"/>
      <c r="QU19" s="4"/>
      <c r="QV19" s="4"/>
      <c r="QW19" s="4"/>
      <c r="QX19" s="4"/>
      <c r="QY19" s="4"/>
      <c r="QZ19" s="4"/>
      <c r="RA19" s="4"/>
      <c r="RB19" s="4"/>
      <c r="RC19" s="4"/>
      <c r="RD19" s="4"/>
      <c r="RE19" s="4"/>
      <c r="RF19" s="4"/>
      <c r="RG19" s="4"/>
      <c r="RH19" s="4"/>
      <c r="RI19" s="4"/>
      <c r="RJ19" s="4"/>
      <c r="RK19" s="4"/>
      <c r="RL19" s="4"/>
      <c r="RM19" s="4"/>
      <c r="RN19" s="4"/>
      <c r="RO19" s="4"/>
      <c r="RP19" s="4"/>
      <c r="RQ19" s="4"/>
      <c r="RR19" s="4"/>
      <c r="RS19" s="4"/>
      <c r="RT19" s="4"/>
      <c r="RU19" s="4"/>
      <c r="RV19" s="4"/>
      <c r="RW19" s="4"/>
      <c r="RX19" s="4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  <c r="ADQ19" s="4"/>
      <c r="ADR19" s="4"/>
      <c r="ADS19" s="4"/>
      <c r="ADT19" s="4"/>
      <c r="ADU19" s="4"/>
      <c r="ADV19" s="4"/>
      <c r="ADW19" s="4"/>
      <c r="ADX19" s="4"/>
      <c r="ADY19" s="4"/>
      <c r="ADZ19" s="4"/>
      <c r="AEA19" s="4"/>
      <c r="AEB19" s="4"/>
      <c r="AEC19" s="4"/>
      <c r="AED19" s="4"/>
      <c r="AEE19" s="4"/>
      <c r="AEF19" s="4"/>
      <c r="AEG19" s="4"/>
      <c r="AEH19" s="4"/>
      <c r="AEI19" s="4"/>
      <c r="AEJ19" s="4"/>
      <c r="AEK19" s="4"/>
      <c r="AEL19" s="4"/>
      <c r="AEM19" s="4"/>
      <c r="AEN19" s="4"/>
      <c r="AEO19" s="4"/>
      <c r="AEP19" s="4"/>
      <c r="AEQ19" s="4"/>
      <c r="AER19" s="4"/>
      <c r="AES19" s="4"/>
      <c r="AET19" s="4"/>
      <c r="AEU19" s="4"/>
      <c r="AEV19" s="4"/>
      <c r="AEW19" s="4"/>
      <c r="AEX19" s="4"/>
      <c r="AEY19" s="4"/>
      <c r="AEZ19" s="4"/>
      <c r="AFA19" s="4"/>
      <c r="AFB19" s="4"/>
      <c r="AFC19" s="4"/>
      <c r="AFD19" s="4"/>
      <c r="AFE19" s="4"/>
      <c r="AFF19" s="4"/>
      <c r="AFG19" s="4"/>
      <c r="AFH19" s="4"/>
      <c r="AFI19" s="4"/>
      <c r="AFJ19" s="4"/>
      <c r="AFK19" s="4"/>
      <c r="AFL19" s="4"/>
      <c r="AFM19" s="4"/>
      <c r="AFN19" s="4"/>
      <c r="AFO19" s="4"/>
      <c r="AFP19" s="4"/>
      <c r="AFQ19" s="4"/>
      <c r="AFR19" s="4"/>
      <c r="AFS19" s="4"/>
      <c r="AFT19" s="4"/>
      <c r="AFU19" s="4"/>
      <c r="AFV19" s="4"/>
      <c r="AFW19" s="4"/>
      <c r="AFX19" s="4"/>
      <c r="AFY19" s="4"/>
      <c r="AFZ19" s="4"/>
      <c r="AGA19" s="4"/>
      <c r="AGB19" s="4"/>
      <c r="AGC19" s="4"/>
      <c r="AGD19" s="4"/>
      <c r="AGE19" s="4"/>
      <c r="AGF19" s="4"/>
      <c r="AGG19" s="4"/>
      <c r="AGH19" s="4"/>
      <c r="AGI19" s="4"/>
      <c r="AGJ19" s="4"/>
      <c r="AGK19" s="4"/>
      <c r="AGL19" s="4"/>
      <c r="AGM19" s="4"/>
      <c r="AGN19" s="4"/>
      <c r="AGO19" s="4"/>
      <c r="AGP19" s="4"/>
      <c r="AGQ19" s="4"/>
      <c r="AGR19" s="4"/>
      <c r="AGS19" s="4"/>
      <c r="AGT19" s="4"/>
      <c r="AGU19" s="4"/>
      <c r="AGV19" s="4"/>
      <c r="AGW19" s="4"/>
      <c r="AGX19" s="4"/>
      <c r="AGY19" s="4"/>
      <c r="AGZ19" s="4"/>
      <c r="AHA19" s="4"/>
      <c r="AHB19" s="4"/>
      <c r="AHC19" s="4"/>
      <c r="AHD19" s="4"/>
      <c r="AHE19" s="4"/>
      <c r="AHF19" s="4"/>
      <c r="AHG19" s="4"/>
      <c r="AHH19" s="4"/>
      <c r="AHI19" s="4"/>
      <c r="AHJ19" s="4"/>
      <c r="AHK19" s="4"/>
      <c r="AHL19" s="4"/>
      <c r="AHM19" s="4"/>
      <c r="AHN19" s="4"/>
      <c r="AHO19" s="4"/>
      <c r="AHP19" s="4"/>
      <c r="AHQ19" s="4"/>
      <c r="AHR19" s="4"/>
      <c r="AHS19" s="4"/>
      <c r="AHT19" s="4"/>
      <c r="AHU19" s="4"/>
      <c r="AHV19" s="4"/>
      <c r="AHW19" s="4"/>
      <c r="AHX19" s="4"/>
      <c r="AHY19" s="4"/>
      <c r="AHZ19" s="4"/>
      <c r="AIA19" s="4"/>
      <c r="AIB19" s="4"/>
      <c r="AIC19" s="4"/>
      <c r="AID19" s="4"/>
      <c r="AIE19" s="4"/>
      <c r="AIF19" s="4"/>
      <c r="AIG19" s="4"/>
      <c r="AIH19" s="4"/>
      <c r="AII19" s="4"/>
      <c r="AIJ19" s="4"/>
      <c r="AIK19" s="4"/>
      <c r="AIL19" s="4"/>
      <c r="AIM19" s="4"/>
      <c r="AIN19" s="4"/>
      <c r="AIO19" s="4"/>
      <c r="AIP19" s="4"/>
      <c r="AIQ19" s="4"/>
      <c r="AIR19" s="4"/>
      <c r="AIS19" s="4"/>
      <c r="AIT19" s="4"/>
      <c r="AIU19" s="4"/>
      <c r="AIV19" s="4"/>
      <c r="AIW19" s="4"/>
      <c r="AIX19" s="4"/>
      <c r="AIY19" s="4"/>
      <c r="AIZ19" s="4"/>
      <c r="AJA19" s="4"/>
      <c r="AJB19" s="4"/>
      <c r="AJC19" s="4"/>
      <c r="AJD19" s="4"/>
      <c r="AJE19" s="4"/>
      <c r="AJF19" s="4"/>
      <c r="AJG19" s="4"/>
      <c r="AJH19" s="4"/>
      <c r="AJI19" s="4"/>
      <c r="AJJ19" s="4"/>
      <c r="AJK19" s="4"/>
      <c r="AJL19" s="4"/>
      <c r="AJM19" s="4"/>
      <c r="AJN19" s="4"/>
      <c r="AJO19" s="4"/>
      <c r="AJP19" s="4"/>
      <c r="AJQ19" s="4"/>
      <c r="AJR19" s="4"/>
      <c r="AJS19" s="4"/>
      <c r="AJT19" s="4"/>
      <c r="AJU19" s="4"/>
      <c r="AJV19" s="4"/>
      <c r="AJW19" s="4"/>
      <c r="AJX19" s="4"/>
      <c r="AJY19" s="4"/>
      <c r="AJZ19" s="4"/>
      <c r="AKA19" s="4"/>
      <c r="AKB19" s="4"/>
      <c r="AKC19" s="4"/>
      <c r="AKD19" s="4"/>
      <c r="AKE19" s="4"/>
      <c r="AKF19" s="4"/>
      <c r="AKG19" s="4"/>
      <c r="AKH19" s="4"/>
      <c r="AKI19" s="4"/>
      <c r="AKJ19" s="4"/>
      <c r="AKK19" s="4"/>
      <c r="AKL19" s="4"/>
      <c r="AKM19" s="4"/>
      <c r="AKN19" s="4"/>
      <c r="AKO19" s="4"/>
      <c r="AKP19" s="4"/>
      <c r="AKQ19" s="4"/>
      <c r="AKR19" s="4"/>
      <c r="AKS19" s="4"/>
      <c r="AKT19" s="4"/>
      <c r="AKU19" s="4"/>
      <c r="AKV19" s="4"/>
      <c r="AKW19" s="4"/>
      <c r="AKX19" s="4"/>
      <c r="AKY19" s="4"/>
      <c r="AKZ19" s="4"/>
      <c r="ALA19" s="4"/>
      <c r="ALB19" s="4"/>
      <c r="ALC19" s="4"/>
      <c r="ALD19" s="4"/>
      <c r="ALE19" s="4"/>
      <c r="ALF19" s="4"/>
      <c r="ALG19" s="4"/>
      <c r="ALH19" s="4"/>
      <c r="ALI19" s="4"/>
      <c r="ALJ19" s="4"/>
      <c r="ALK19" s="4"/>
      <c r="ALL19" s="4"/>
    </row>
    <row r="20">
      <c r="A20" s="26" t="s">
        <v>46</v>
      </c>
      <c r="B20" s="6">
        <v>35.0</v>
      </c>
      <c r="C20" s="6">
        <v>0.0</v>
      </c>
      <c r="D20" s="6">
        <v>0.0</v>
      </c>
      <c r="E20" s="6">
        <v>2.0</v>
      </c>
      <c r="F20" s="6">
        <v>2.0</v>
      </c>
      <c r="G20" s="6">
        <v>0.0</v>
      </c>
      <c r="H20" s="6">
        <v>0.0</v>
      </c>
      <c r="I20" s="6">
        <v>0.0</v>
      </c>
      <c r="J20" s="6">
        <v>0.0</v>
      </c>
      <c r="K20" s="6">
        <v>1.0</v>
      </c>
      <c r="L20" s="6">
        <v>1.0</v>
      </c>
      <c r="M20" s="6">
        <v>1.0</v>
      </c>
      <c r="N20" s="6">
        <v>5.0</v>
      </c>
      <c r="O20" s="6">
        <v>0.0</v>
      </c>
      <c r="P20" s="6">
        <v>3.0</v>
      </c>
      <c r="Q20" s="6">
        <v>1.0</v>
      </c>
      <c r="R20" s="6">
        <v>15.0</v>
      </c>
      <c r="S20" s="6">
        <v>3.0</v>
      </c>
      <c r="T20" s="6">
        <v>1.0</v>
      </c>
      <c r="U20" s="6">
        <v>0.0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  <c r="AEL20" s="4"/>
      <c r="AEM20" s="4"/>
      <c r="AEN20" s="4"/>
      <c r="AEO20" s="4"/>
      <c r="AEP20" s="4"/>
      <c r="AEQ20" s="4"/>
      <c r="AER20" s="4"/>
      <c r="AES20" s="4"/>
      <c r="AET20" s="4"/>
      <c r="AEU20" s="4"/>
      <c r="AEV20" s="4"/>
      <c r="AEW20" s="4"/>
      <c r="AEX20" s="4"/>
      <c r="AEY20" s="4"/>
      <c r="AEZ20" s="4"/>
      <c r="AFA20" s="4"/>
      <c r="AFB20" s="4"/>
      <c r="AFC20" s="4"/>
      <c r="AFD20" s="4"/>
      <c r="AFE20" s="4"/>
      <c r="AFF20" s="4"/>
      <c r="AFG20" s="4"/>
      <c r="AFH20" s="4"/>
      <c r="AFI20" s="4"/>
      <c r="AFJ20" s="4"/>
      <c r="AFK20" s="4"/>
      <c r="AFL20" s="4"/>
      <c r="AFM20" s="4"/>
      <c r="AFN20" s="4"/>
      <c r="AFO20" s="4"/>
      <c r="AFP20" s="4"/>
      <c r="AFQ20" s="4"/>
      <c r="AFR20" s="4"/>
      <c r="AFS20" s="4"/>
      <c r="AFT20" s="4"/>
      <c r="AFU20" s="4"/>
      <c r="AFV20" s="4"/>
      <c r="AFW20" s="4"/>
      <c r="AFX20" s="4"/>
      <c r="AFY20" s="4"/>
      <c r="AFZ20" s="4"/>
      <c r="AGA20" s="4"/>
      <c r="AGB20" s="4"/>
      <c r="AGC20" s="4"/>
      <c r="AGD20" s="4"/>
      <c r="AGE20" s="4"/>
      <c r="AGF20" s="4"/>
      <c r="AGG20" s="4"/>
      <c r="AGH20" s="4"/>
      <c r="AGI20" s="4"/>
      <c r="AGJ20" s="4"/>
      <c r="AGK20" s="4"/>
      <c r="AGL20" s="4"/>
      <c r="AGM20" s="4"/>
      <c r="AGN20" s="4"/>
      <c r="AGO20" s="4"/>
      <c r="AGP20" s="4"/>
      <c r="AGQ20" s="4"/>
      <c r="AGR20" s="4"/>
      <c r="AGS20" s="4"/>
      <c r="AGT20" s="4"/>
      <c r="AGU20" s="4"/>
      <c r="AGV20" s="4"/>
      <c r="AGW20" s="4"/>
      <c r="AGX20" s="4"/>
      <c r="AGY20" s="4"/>
      <c r="AGZ20" s="4"/>
      <c r="AHA20" s="4"/>
      <c r="AHB20" s="4"/>
      <c r="AHC20" s="4"/>
      <c r="AHD20" s="4"/>
      <c r="AHE20" s="4"/>
      <c r="AHF20" s="4"/>
      <c r="AHG20" s="4"/>
      <c r="AHH20" s="4"/>
      <c r="AHI20" s="4"/>
      <c r="AHJ20" s="4"/>
      <c r="AHK20" s="4"/>
      <c r="AHL20" s="4"/>
      <c r="AHM20" s="4"/>
      <c r="AHN20" s="4"/>
      <c r="AHO20" s="4"/>
      <c r="AHP20" s="4"/>
      <c r="AHQ20" s="4"/>
      <c r="AHR20" s="4"/>
      <c r="AHS20" s="4"/>
      <c r="AHT20" s="4"/>
      <c r="AHU20" s="4"/>
      <c r="AHV20" s="4"/>
      <c r="AHW20" s="4"/>
      <c r="AHX20" s="4"/>
      <c r="AHY20" s="4"/>
      <c r="AHZ20" s="4"/>
      <c r="AIA20" s="4"/>
      <c r="AIB20" s="4"/>
      <c r="AIC20" s="4"/>
      <c r="AID20" s="4"/>
      <c r="AIE20" s="4"/>
      <c r="AIF20" s="4"/>
      <c r="AIG20" s="4"/>
      <c r="AIH20" s="4"/>
      <c r="AII20" s="4"/>
      <c r="AIJ20" s="4"/>
      <c r="AIK20" s="4"/>
      <c r="AIL20" s="4"/>
      <c r="AIM20" s="4"/>
      <c r="AIN20" s="4"/>
      <c r="AIO20" s="4"/>
      <c r="AIP20" s="4"/>
      <c r="AIQ20" s="4"/>
      <c r="AIR20" s="4"/>
      <c r="AIS20" s="4"/>
      <c r="AIT20" s="4"/>
      <c r="AIU20" s="4"/>
      <c r="AIV20" s="4"/>
      <c r="AIW20" s="4"/>
      <c r="AIX20" s="4"/>
      <c r="AIY20" s="4"/>
      <c r="AIZ20" s="4"/>
      <c r="AJA20" s="4"/>
      <c r="AJB20" s="4"/>
      <c r="AJC20" s="4"/>
      <c r="AJD20" s="4"/>
      <c r="AJE20" s="4"/>
      <c r="AJF20" s="4"/>
      <c r="AJG20" s="4"/>
      <c r="AJH20" s="4"/>
      <c r="AJI20" s="4"/>
      <c r="AJJ20" s="4"/>
      <c r="AJK20" s="4"/>
      <c r="AJL20" s="4"/>
      <c r="AJM20" s="4"/>
      <c r="AJN20" s="4"/>
      <c r="AJO20" s="4"/>
      <c r="AJP20" s="4"/>
      <c r="AJQ20" s="4"/>
      <c r="AJR20" s="4"/>
      <c r="AJS20" s="4"/>
      <c r="AJT20" s="4"/>
      <c r="AJU20" s="4"/>
      <c r="AJV20" s="4"/>
      <c r="AJW20" s="4"/>
      <c r="AJX20" s="4"/>
      <c r="AJY20" s="4"/>
      <c r="AJZ20" s="4"/>
      <c r="AKA20" s="4"/>
      <c r="AKB20" s="4"/>
      <c r="AKC20" s="4"/>
      <c r="AKD20" s="4"/>
      <c r="AKE20" s="4"/>
      <c r="AKF20" s="4"/>
      <c r="AKG20" s="4"/>
      <c r="AKH20" s="4"/>
      <c r="AKI20" s="4"/>
      <c r="AKJ20" s="4"/>
      <c r="AKK20" s="4"/>
      <c r="AKL20" s="4"/>
      <c r="AKM20" s="4"/>
      <c r="AKN20" s="4"/>
      <c r="AKO20" s="4"/>
      <c r="AKP20" s="4"/>
      <c r="AKQ20" s="4"/>
      <c r="AKR20" s="4"/>
      <c r="AKS20" s="4"/>
      <c r="AKT20" s="4"/>
      <c r="AKU20" s="4"/>
      <c r="AKV20" s="4"/>
      <c r="AKW20" s="4"/>
      <c r="AKX20" s="4"/>
      <c r="AKY20" s="4"/>
      <c r="AKZ20" s="4"/>
      <c r="ALA20" s="4"/>
      <c r="ALB20" s="4"/>
      <c r="ALC20" s="4"/>
      <c r="ALD20" s="4"/>
      <c r="ALE20" s="4"/>
      <c r="ALF20" s="4"/>
      <c r="ALG20" s="4"/>
      <c r="ALH20" s="4"/>
      <c r="ALI20" s="4"/>
      <c r="ALJ20" s="4"/>
      <c r="ALK20" s="4"/>
      <c r="ALL20" s="4"/>
    </row>
    <row r="21">
      <c r="A21" s="41" t="s">
        <v>48</v>
      </c>
      <c r="B21" s="15">
        <v>55.0</v>
      </c>
      <c r="C21" s="15">
        <v>5.0</v>
      </c>
      <c r="D21" s="15">
        <v>4.0</v>
      </c>
      <c r="E21" s="15">
        <v>5.0</v>
      </c>
      <c r="F21" s="15">
        <v>2.0</v>
      </c>
      <c r="G21" s="15">
        <v>1.0</v>
      </c>
      <c r="H21" s="15">
        <v>1.0</v>
      </c>
      <c r="I21" s="15">
        <v>5.0</v>
      </c>
      <c r="J21" s="15">
        <v>0.0</v>
      </c>
      <c r="K21" s="15">
        <v>0.0</v>
      </c>
      <c r="L21" s="15">
        <v>0.0</v>
      </c>
      <c r="M21" s="15">
        <v>1.0</v>
      </c>
      <c r="N21" s="15">
        <v>12.0</v>
      </c>
      <c r="O21" s="15">
        <v>4.0</v>
      </c>
      <c r="P21" s="15">
        <v>0.0</v>
      </c>
      <c r="Q21" s="15">
        <v>0.0</v>
      </c>
      <c r="R21" s="15">
        <v>9.0</v>
      </c>
      <c r="S21" s="15">
        <v>2.0</v>
      </c>
      <c r="T21" s="15">
        <v>2.0</v>
      </c>
      <c r="U21" s="15">
        <v>1.0</v>
      </c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4"/>
      <c r="NU21" s="4"/>
      <c r="NV21" s="4"/>
      <c r="NW21" s="4"/>
      <c r="NX21" s="4"/>
      <c r="NY21" s="4"/>
      <c r="NZ21" s="4"/>
      <c r="OA21" s="4"/>
      <c r="OB21" s="4"/>
      <c r="OC21" s="4"/>
      <c r="OD21" s="4"/>
      <c r="OE21" s="4"/>
      <c r="OF21" s="4"/>
      <c r="OG21" s="4"/>
      <c r="OH21" s="4"/>
      <c r="OI21" s="4"/>
      <c r="OJ21" s="4"/>
      <c r="OK21" s="4"/>
      <c r="OL21" s="4"/>
      <c r="OM21" s="4"/>
      <c r="ON21" s="4"/>
      <c r="OO21" s="4"/>
      <c r="OP21" s="4"/>
      <c r="OQ21" s="4"/>
      <c r="OR21" s="4"/>
      <c r="OS21" s="4"/>
      <c r="OT21" s="4"/>
      <c r="OU21" s="4"/>
      <c r="OV21" s="4"/>
      <c r="OW21" s="4"/>
      <c r="OX21" s="4"/>
      <c r="OY21" s="4"/>
      <c r="OZ21" s="4"/>
      <c r="PA21" s="4"/>
      <c r="PB21" s="4"/>
      <c r="PC21" s="4"/>
      <c r="PD21" s="4"/>
      <c r="PE21" s="4"/>
      <c r="PF21" s="4"/>
      <c r="PG21" s="4"/>
      <c r="PH21" s="4"/>
      <c r="PI21" s="4"/>
      <c r="PJ21" s="4"/>
      <c r="PK21" s="4"/>
      <c r="PL21" s="4"/>
      <c r="PM21" s="4"/>
      <c r="PN21" s="4"/>
      <c r="PO21" s="4"/>
      <c r="PP21" s="4"/>
      <c r="PQ21" s="4"/>
      <c r="PR21" s="4"/>
      <c r="PS21" s="4"/>
      <c r="PT21" s="4"/>
      <c r="PU21" s="4"/>
      <c r="PV21" s="4"/>
      <c r="PW21" s="4"/>
      <c r="PX21" s="4"/>
      <c r="PY21" s="4"/>
      <c r="PZ21" s="4"/>
      <c r="QA21" s="4"/>
      <c r="QB21" s="4"/>
      <c r="QC21" s="4"/>
      <c r="QD21" s="4"/>
      <c r="QE21" s="4"/>
      <c r="QF21" s="4"/>
      <c r="QG21" s="4"/>
      <c r="QH21" s="4"/>
      <c r="QI21" s="4"/>
      <c r="QJ21" s="4"/>
      <c r="QK21" s="4"/>
      <c r="QL21" s="4"/>
      <c r="QM21" s="4"/>
      <c r="QN21" s="4"/>
      <c r="QO21" s="4"/>
      <c r="QP21" s="4"/>
      <c r="QQ21" s="4"/>
      <c r="QR21" s="4"/>
      <c r="QS21" s="4"/>
      <c r="QT21" s="4"/>
      <c r="QU21" s="4"/>
      <c r="QV21" s="4"/>
      <c r="QW21" s="4"/>
      <c r="QX21" s="4"/>
      <c r="QY21" s="4"/>
      <c r="QZ21" s="4"/>
      <c r="RA21" s="4"/>
      <c r="RB21" s="4"/>
      <c r="RC21" s="4"/>
      <c r="RD21" s="4"/>
      <c r="RE21" s="4"/>
      <c r="RF21" s="4"/>
      <c r="RG21" s="4"/>
      <c r="RH21" s="4"/>
      <c r="RI21" s="4"/>
      <c r="RJ21" s="4"/>
      <c r="RK21" s="4"/>
      <c r="RL21" s="4"/>
      <c r="RM21" s="4"/>
      <c r="RN21" s="4"/>
      <c r="RO21" s="4"/>
      <c r="RP21" s="4"/>
      <c r="RQ21" s="4"/>
      <c r="RR21" s="4"/>
      <c r="RS21" s="4"/>
      <c r="RT21" s="4"/>
      <c r="RU21" s="4"/>
      <c r="RV21" s="4"/>
      <c r="RW21" s="4"/>
      <c r="RX21" s="4"/>
      <c r="RY21" s="4"/>
      <c r="RZ21" s="4"/>
      <c r="SA21" s="4"/>
      <c r="SB21" s="4"/>
      <c r="SC21" s="4"/>
      <c r="SD21" s="4"/>
      <c r="SE21" s="4"/>
      <c r="SF21" s="4"/>
      <c r="SG21" s="4"/>
      <c r="SH21" s="4"/>
      <c r="SI21" s="4"/>
      <c r="SJ21" s="4"/>
      <c r="SK21" s="4"/>
      <c r="SL21" s="4"/>
      <c r="SM21" s="4"/>
      <c r="SN21" s="4"/>
      <c r="SO21" s="4"/>
      <c r="SP21" s="4"/>
      <c r="SQ21" s="4"/>
      <c r="SR21" s="4"/>
      <c r="SS21" s="4"/>
      <c r="ST21" s="4"/>
      <c r="SU21" s="4"/>
      <c r="SV21" s="4"/>
      <c r="SW21" s="4"/>
      <c r="SX21" s="4"/>
      <c r="SY21" s="4"/>
      <c r="SZ21" s="4"/>
      <c r="TA21" s="4"/>
      <c r="TB21" s="4"/>
      <c r="TC21" s="4"/>
      <c r="TD21" s="4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  <c r="WE21" s="4"/>
      <c r="WF21" s="4"/>
      <c r="WG21" s="4"/>
      <c r="WH21" s="4"/>
      <c r="WI21" s="4"/>
      <c r="WJ21" s="4"/>
      <c r="WK21" s="4"/>
      <c r="WL21" s="4"/>
      <c r="WM21" s="4"/>
      <c r="WN21" s="4"/>
      <c r="WO21" s="4"/>
      <c r="WP21" s="4"/>
      <c r="WQ21" s="4"/>
      <c r="WR21" s="4"/>
      <c r="WS21" s="4"/>
      <c r="WT21" s="4"/>
      <c r="WU21" s="4"/>
      <c r="WV21" s="4"/>
      <c r="WW21" s="4"/>
      <c r="WX21" s="4"/>
      <c r="WY21" s="4"/>
      <c r="WZ21" s="4"/>
      <c r="XA21" s="4"/>
      <c r="XB21" s="4"/>
      <c r="XC21" s="4"/>
      <c r="XD21" s="4"/>
      <c r="XE21" s="4"/>
      <c r="XF21" s="4"/>
      <c r="XG21" s="4"/>
      <c r="XH21" s="4"/>
      <c r="XI21" s="4"/>
      <c r="XJ21" s="4"/>
      <c r="XK21" s="4"/>
      <c r="XL21" s="4"/>
      <c r="XM21" s="4"/>
      <c r="XN21" s="4"/>
      <c r="XO21" s="4"/>
      <c r="XP21" s="4"/>
      <c r="XQ21" s="4"/>
      <c r="XR21" s="4"/>
      <c r="XS21" s="4"/>
      <c r="XT21" s="4"/>
      <c r="XU21" s="4"/>
      <c r="XV21" s="4"/>
      <c r="XW21" s="4"/>
      <c r="XX21" s="4"/>
      <c r="XY21" s="4"/>
      <c r="XZ21" s="4"/>
      <c r="YA21" s="4"/>
      <c r="YB21" s="4"/>
      <c r="YC21" s="4"/>
      <c r="YD21" s="4"/>
      <c r="YE21" s="4"/>
      <c r="YF21" s="4"/>
      <c r="YG21" s="4"/>
      <c r="YH21" s="4"/>
      <c r="YI21" s="4"/>
      <c r="YJ21" s="4"/>
      <c r="YK21" s="4"/>
      <c r="YL21" s="4"/>
      <c r="YM21" s="4"/>
      <c r="YN21" s="4"/>
      <c r="YO21" s="4"/>
      <c r="YP21" s="4"/>
      <c r="YQ21" s="4"/>
      <c r="YR21" s="4"/>
      <c r="YS21" s="4"/>
      <c r="YT21" s="4"/>
      <c r="YU21" s="4"/>
      <c r="YV21" s="4"/>
      <c r="YW21" s="4"/>
      <c r="YX21" s="4"/>
      <c r="YY21" s="4"/>
      <c r="YZ21" s="4"/>
      <c r="ZA21" s="4"/>
      <c r="ZB21" s="4"/>
      <c r="ZC21" s="4"/>
      <c r="ZD21" s="4"/>
      <c r="ZE21" s="4"/>
      <c r="ZF21" s="4"/>
      <c r="ZG21" s="4"/>
      <c r="ZH21" s="4"/>
      <c r="ZI21" s="4"/>
      <c r="ZJ21" s="4"/>
      <c r="ZK21" s="4"/>
      <c r="ZL21" s="4"/>
      <c r="ZM21" s="4"/>
      <c r="ZN21" s="4"/>
      <c r="ZO21" s="4"/>
      <c r="ZP21" s="4"/>
      <c r="ZQ21" s="4"/>
      <c r="ZR21" s="4"/>
      <c r="ZS21" s="4"/>
      <c r="ZT21" s="4"/>
      <c r="ZU21" s="4"/>
      <c r="ZV21" s="4"/>
      <c r="ZW21" s="4"/>
      <c r="ZX21" s="4"/>
      <c r="ZY21" s="4"/>
      <c r="ZZ21" s="4"/>
      <c r="AAA21" s="4"/>
      <c r="AAB21" s="4"/>
      <c r="AAC21" s="4"/>
      <c r="AAD21" s="4"/>
      <c r="AAE21" s="4"/>
      <c r="AAF21" s="4"/>
      <c r="AAG21" s="4"/>
      <c r="AAH21" s="4"/>
      <c r="AAI21" s="4"/>
      <c r="AAJ21" s="4"/>
      <c r="AAK21" s="4"/>
      <c r="AAL21" s="4"/>
      <c r="AAM21" s="4"/>
      <c r="AAN21" s="4"/>
      <c r="AAO21" s="4"/>
      <c r="AAP21" s="4"/>
      <c r="AAQ21" s="4"/>
      <c r="AAR21" s="4"/>
      <c r="AAS21" s="4"/>
      <c r="AAT21" s="4"/>
      <c r="AAU21" s="4"/>
      <c r="AAV21" s="4"/>
      <c r="AAW21" s="4"/>
      <c r="AAX21" s="4"/>
      <c r="AAY21" s="4"/>
      <c r="AAZ21" s="4"/>
      <c r="ABA21" s="4"/>
      <c r="ABB21" s="4"/>
      <c r="ABC21" s="4"/>
      <c r="ABD21" s="4"/>
      <c r="ABE21" s="4"/>
      <c r="ABF21" s="4"/>
      <c r="ABG21" s="4"/>
      <c r="ABH21" s="4"/>
      <c r="ABI21" s="4"/>
      <c r="ABJ21" s="4"/>
      <c r="ABK21" s="4"/>
      <c r="ABL21" s="4"/>
      <c r="ABM21" s="4"/>
      <c r="ABN21" s="4"/>
      <c r="ABO21" s="4"/>
      <c r="ABP21" s="4"/>
      <c r="ABQ21" s="4"/>
      <c r="ABR21" s="4"/>
      <c r="ABS21" s="4"/>
      <c r="ABT21" s="4"/>
      <c r="ABU21" s="4"/>
      <c r="ABV21" s="4"/>
      <c r="ABW21" s="4"/>
      <c r="ABX21" s="4"/>
      <c r="ABY21" s="4"/>
      <c r="ABZ21" s="4"/>
      <c r="ACA21" s="4"/>
      <c r="ACB21" s="4"/>
      <c r="ACC21" s="4"/>
      <c r="ACD21" s="4"/>
      <c r="ACE21" s="4"/>
      <c r="ACF21" s="4"/>
      <c r="ACG21" s="4"/>
      <c r="ACH21" s="4"/>
      <c r="ACI21" s="4"/>
      <c r="ACJ21" s="4"/>
      <c r="ACK21" s="4"/>
      <c r="ACL21" s="4"/>
      <c r="ACM21" s="4"/>
      <c r="ACN21" s="4"/>
      <c r="ACO21" s="4"/>
      <c r="ACP21" s="4"/>
      <c r="ACQ21" s="4"/>
      <c r="ACR21" s="4"/>
      <c r="ACS21" s="4"/>
      <c r="ACT21" s="4"/>
      <c r="ACU21" s="4"/>
      <c r="ACV21" s="4"/>
      <c r="ACW21" s="4"/>
      <c r="ACX21" s="4"/>
      <c r="ACY21" s="4"/>
      <c r="ACZ21" s="4"/>
      <c r="ADA21" s="4"/>
      <c r="ADB21" s="4"/>
      <c r="ADC21" s="4"/>
      <c r="ADD21" s="4"/>
      <c r="ADE21" s="4"/>
      <c r="ADF21" s="4"/>
      <c r="ADG21" s="4"/>
      <c r="ADH21" s="4"/>
      <c r="ADI21" s="4"/>
      <c r="ADJ21" s="4"/>
      <c r="ADK21" s="4"/>
      <c r="ADL21" s="4"/>
      <c r="ADM21" s="4"/>
      <c r="ADN21" s="4"/>
      <c r="ADO21" s="4"/>
      <c r="ADP21" s="4"/>
      <c r="ADQ21" s="4"/>
      <c r="ADR21" s="4"/>
      <c r="ADS21" s="4"/>
      <c r="ADT21" s="4"/>
      <c r="ADU21" s="4"/>
      <c r="ADV21" s="4"/>
      <c r="ADW21" s="4"/>
      <c r="ADX21" s="4"/>
      <c r="ADY21" s="4"/>
      <c r="ADZ21" s="4"/>
      <c r="AEA21" s="4"/>
      <c r="AEB21" s="4"/>
      <c r="AEC21" s="4"/>
      <c r="AED21" s="4"/>
      <c r="AEE21" s="4"/>
      <c r="AEF21" s="4"/>
      <c r="AEG21" s="4"/>
      <c r="AEH21" s="4"/>
      <c r="AEI21" s="4"/>
      <c r="AEJ21" s="4"/>
      <c r="AEK21" s="4"/>
      <c r="AEL21" s="4"/>
      <c r="AEM21" s="4"/>
      <c r="AEN21" s="4"/>
      <c r="AEO21" s="4"/>
      <c r="AEP21" s="4"/>
      <c r="AEQ21" s="4"/>
      <c r="AER21" s="4"/>
      <c r="AES21" s="4"/>
      <c r="AET21" s="4"/>
      <c r="AEU21" s="4"/>
      <c r="AEV21" s="4"/>
      <c r="AEW21" s="4"/>
      <c r="AEX21" s="4"/>
      <c r="AEY21" s="4"/>
      <c r="AEZ21" s="4"/>
      <c r="AFA21" s="4"/>
      <c r="AFB21" s="4"/>
      <c r="AFC21" s="4"/>
      <c r="AFD21" s="4"/>
      <c r="AFE21" s="4"/>
      <c r="AFF21" s="4"/>
      <c r="AFG21" s="4"/>
      <c r="AFH21" s="4"/>
      <c r="AFI21" s="4"/>
      <c r="AFJ21" s="4"/>
      <c r="AFK21" s="4"/>
      <c r="AFL21" s="4"/>
      <c r="AFM21" s="4"/>
      <c r="AFN21" s="4"/>
      <c r="AFO21" s="4"/>
      <c r="AFP21" s="4"/>
      <c r="AFQ21" s="4"/>
      <c r="AFR21" s="4"/>
      <c r="AFS21" s="4"/>
      <c r="AFT21" s="4"/>
      <c r="AFU21" s="4"/>
      <c r="AFV21" s="4"/>
      <c r="AFW21" s="4"/>
      <c r="AFX21" s="4"/>
      <c r="AFY21" s="4"/>
      <c r="AFZ21" s="4"/>
      <c r="AGA21" s="4"/>
      <c r="AGB21" s="4"/>
      <c r="AGC21" s="4"/>
      <c r="AGD21" s="4"/>
      <c r="AGE21" s="4"/>
      <c r="AGF21" s="4"/>
      <c r="AGG21" s="4"/>
      <c r="AGH21" s="4"/>
      <c r="AGI21" s="4"/>
      <c r="AGJ21" s="4"/>
      <c r="AGK21" s="4"/>
      <c r="AGL21" s="4"/>
      <c r="AGM21" s="4"/>
      <c r="AGN21" s="4"/>
      <c r="AGO21" s="4"/>
      <c r="AGP21" s="4"/>
      <c r="AGQ21" s="4"/>
      <c r="AGR21" s="4"/>
      <c r="AGS21" s="4"/>
      <c r="AGT21" s="4"/>
      <c r="AGU21" s="4"/>
      <c r="AGV21" s="4"/>
      <c r="AGW21" s="4"/>
      <c r="AGX21" s="4"/>
      <c r="AGY21" s="4"/>
      <c r="AGZ21" s="4"/>
      <c r="AHA21" s="4"/>
      <c r="AHB21" s="4"/>
      <c r="AHC21" s="4"/>
      <c r="AHD21" s="4"/>
      <c r="AHE21" s="4"/>
      <c r="AHF21" s="4"/>
      <c r="AHG21" s="4"/>
      <c r="AHH21" s="4"/>
      <c r="AHI21" s="4"/>
      <c r="AHJ21" s="4"/>
      <c r="AHK21" s="4"/>
      <c r="AHL21" s="4"/>
      <c r="AHM21" s="4"/>
      <c r="AHN21" s="4"/>
      <c r="AHO21" s="4"/>
      <c r="AHP21" s="4"/>
      <c r="AHQ21" s="4"/>
      <c r="AHR21" s="4"/>
      <c r="AHS21" s="4"/>
      <c r="AHT21" s="4"/>
      <c r="AHU21" s="4"/>
      <c r="AHV21" s="4"/>
      <c r="AHW21" s="4"/>
      <c r="AHX21" s="4"/>
      <c r="AHY21" s="4"/>
      <c r="AHZ21" s="4"/>
      <c r="AIA21" s="4"/>
      <c r="AIB21" s="4"/>
      <c r="AIC21" s="4"/>
      <c r="AID21" s="4"/>
      <c r="AIE21" s="4"/>
      <c r="AIF21" s="4"/>
      <c r="AIG21" s="4"/>
      <c r="AIH21" s="4"/>
      <c r="AII21" s="4"/>
      <c r="AIJ21" s="4"/>
      <c r="AIK21" s="4"/>
      <c r="AIL21" s="4"/>
      <c r="AIM21" s="4"/>
      <c r="AIN21" s="4"/>
      <c r="AIO21" s="4"/>
      <c r="AIP21" s="4"/>
      <c r="AIQ21" s="4"/>
      <c r="AIR21" s="4"/>
      <c r="AIS21" s="4"/>
      <c r="AIT21" s="4"/>
      <c r="AIU21" s="4"/>
      <c r="AIV21" s="4"/>
      <c r="AIW21" s="4"/>
      <c r="AIX21" s="4"/>
      <c r="AIY21" s="4"/>
      <c r="AIZ21" s="4"/>
      <c r="AJA21" s="4"/>
      <c r="AJB21" s="4"/>
      <c r="AJC21" s="4"/>
      <c r="AJD21" s="4"/>
      <c r="AJE21" s="4"/>
      <c r="AJF21" s="4"/>
      <c r="AJG21" s="4"/>
      <c r="AJH21" s="4"/>
      <c r="AJI21" s="4"/>
      <c r="AJJ21" s="4"/>
      <c r="AJK21" s="4"/>
      <c r="AJL21" s="4"/>
      <c r="AJM21" s="4"/>
      <c r="AJN21" s="4"/>
      <c r="AJO21" s="4"/>
      <c r="AJP21" s="4"/>
      <c r="AJQ21" s="4"/>
      <c r="AJR21" s="4"/>
      <c r="AJS21" s="4"/>
      <c r="AJT21" s="4"/>
      <c r="AJU21" s="4"/>
      <c r="AJV21" s="4"/>
      <c r="AJW21" s="4"/>
      <c r="AJX21" s="4"/>
      <c r="AJY21" s="4"/>
      <c r="AJZ21" s="4"/>
      <c r="AKA21" s="4"/>
      <c r="AKB21" s="4"/>
      <c r="AKC21" s="4"/>
      <c r="AKD21" s="4"/>
      <c r="AKE21" s="4"/>
      <c r="AKF21" s="4"/>
      <c r="AKG21" s="4"/>
      <c r="AKH21" s="4"/>
      <c r="AKI21" s="4"/>
      <c r="AKJ21" s="4"/>
      <c r="AKK21" s="4"/>
      <c r="AKL21" s="4"/>
      <c r="AKM21" s="4"/>
      <c r="AKN21" s="4"/>
      <c r="AKO21" s="4"/>
      <c r="AKP21" s="4"/>
      <c r="AKQ21" s="4"/>
      <c r="AKR21" s="4"/>
      <c r="AKS21" s="4"/>
      <c r="AKT21" s="4"/>
      <c r="AKU21" s="4"/>
      <c r="AKV21" s="4"/>
      <c r="AKW21" s="4"/>
      <c r="AKX21" s="4"/>
      <c r="AKY21" s="4"/>
      <c r="AKZ21" s="4"/>
      <c r="ALA21" s="4"/>
      <c r="ALB21" s="4"/>
      <c r="ALC21" s="4"/>
      <c r="ALD21" s="4"/>
      <c r="ALE21" s="4"/>
      <c r="ALF21" s="4"/>
      <c r="ALG21" s="4"/>
      <c r="ALH21" s="4"/>
      <c r="ALI21" s="4"/>
      <c r="ALJ21" s="4"/>
      <c r="ALK21" s="4"/>
      <c r="ALL21" s="4"/>
    </row>
    <row r="22">
      <c r="A22" s="26" t="s">
        <v>51</v>
      </c>
      <c r="B22" s="6">
        <v>52.0</v>
      </c>
      <c r="C22" s="6">
        <v>0.0</v>
      </c>
      <c r="D22" s="6">
        <v>0.0</v>
      </c>
      <c r="E22" s="6">
        <v>21.0</v>
      </c>
      <c r="F22" s="6">
        <v>0.0</v>
      </c>
      <c r="G22" s="6">
        <v>3.0</v>
      </c>
      <c r="H22" s="6">
        <v>0.0</v>
      </c>
      <c r="I22" s="6">
        <v>2.0</v>
      </c>
      <c r="J22" s="6">
        <v>0.0</v>
      </c>
      <c r="K22" s="6">
        <v>0.0</v>
      </c>
      <c r="L22" s="6">
        <v>0.0</v>
      </c>
      <c r="M22" s="6">
        <v>0.0</v>
      </c>
      <c r="N22" s="6">
        <v>17.0</v>
      </c>
      <c r="O22" s="6">
        <v>1.0</v>
      </c>
      <c r="P22" s="6">
        <v>1.0</v>
      </c>
      <c r="Q22" s="6">
        <v>0.0</v>
      </c>
      <c r="R22" s="6">
        <v>4.0</v>
      </c>
      <c r="S22" s="6">
        <v>0.0</v>
      </c>
      <c r="T22" s="6">
        <v>3.0</v>
      </c>
      <c r="U22" s="6">
        <v>0.0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  <c r="OO22" s="4"/>
      <c r="OP22" s="4"/>
      <c r="OQ22" s="4"/>
      <c r="OR22" s="4"/>
      <c r="OS22" s="4"/>
      <c r="OT22" s="4"/>
      <c r="OU22" s="4"/>
      <c r="OV22" s="4"/>
      <c r="OW22" s="4"/>
      <c r="OX22" s="4"/>
      <c r="OY22" s="4"/>
      <c r="OZ22" s="4"/>
      <c r="PA22" s="4"/>
      <c r="PB22" s="4"/>
      <c r="PC22" s="4"/>
      <c r="PD22" s="4"/>
      <c r="PE22" s="4"/>
      <c r="PF22" s="4"/>
      <c r="PG22" s="4"/>
      <c r="PH22" s="4"/>
      <c r="PI22" s="4"/>
      <c r="PJ22" s="4"/>
      <c r="PK22" s="4"/>
      <c r="PL22" s="4"/>
      <c r="PM22" s="4"/>
      <c r="PN22" s="4"/>
      <c r="PO22" s="4"/>
      <c r="PP22" s="4"/>
      <c r="PQ22" s="4"/>
      <c r="PR22" s="4"/>
      <c r="PS22" s="4"/>
      <c r="PT22" s="4"/>
      <c r="PU22" s="4"/>
      <c r="PV22" s="4"/>
      <c r="PW22" s="4"/>
      <c r="PX22" s="4"/>
      <c r="PY22" s="4"/>
      <c r="PZ22" s="4"/>
      <c r="QA22" s="4"/>
      <c r="QB22" s="4"/>
      <c r="QC22" s="4"/>
      <c r="QD22" s="4"/>
      <c r="QE22" s="4"/>
      <c r="QF22" s="4"/>
      <c r="QG22" s="4"/>
      <c r="QH22" s="4"/>
      <c r="QI22" s="4"/>
      <c r="QJ22" s="4"/>
      <c r="QK22" s="4"/>
      <c r="QL22" s="4"/>
      <c r="QM22" s="4"/>
      <c r="QN22" s="4"/>
      <c r="QO22" s="4"/>
      <c r="QP22" s="4"/>
      <c r="QQ22" s="4"/>
      <c r="QR22" s="4"/>
      <c r="QS22" s="4"/>
      <c r="QT22" s="4"/>
      <c r="QU22" s="4"/>
      <c r="QV22" s="4"/>
      <c r="QW22" s="4"/>
      <c r="QX22" s="4"/>
      <c r="QY22" s="4"/>
      <c r="QZ22" s="4"/>
      <c r="RA22" s="4"/>
      <c r="RB22" s="4"/>
      <c r="RC22" s="4"/>
      <c r="RD22" s="4"/>
      <c r="RE22" s="4"/>
      <c r="RF22" s="4"/>
      <c r="RG22" s="4"/>
      <c r="RH22" s="4"/>
      <c r="RI22" s="4"/>
      <c r="RJ22" s="4"/>
      <c r="RK22" s="4"/>
      <c r="RL22" s="4"/>
      <c r="RM22" s="4"/>
      <c r="RN22" s="4"/>
      <c r="RO22" s="4"/>
      <c r="RP22" s="4"/>
      <c r="RQ22" s="4"/>
      <c r="RR22" s="4"/>
      <c r="RS22" s="4"/>
      <c r="RT22" s="4"/>
      <c r="RU22" s="4"/>
      <c r="RV22" s="4"/>
      <c r="RW22" s="4"/>
      <c r="RX22" s="4"/>
      <c r="RY22" s="4"/>
      <c r="RZ22" s="4"/>
      <c r="SA22" s="4"/>
      <c r="SB22" s="4"/>
      <c r="SC22" s="4"/>
      <c r="SD22" s="4"/>
      <c r="SE22" s="4"/>
      <c r="SF22" s="4"/>
      <c r="SG22" s="4"/>
      <c r="SH22" s="4"/>
      <c r="SI22" s="4"/>
      <c r="SJ22" s="4"/>
      <c r="SK22" s="4"/>
      <c r="SL22" s="4"/>
      <c r="SM22" s="4"/>
      <c r="SN22" s="4"/>
      <c r="SO22" s="4"/>
      <c r="SP22" s="4"/>
      <c r="SQ22" s="4"/>
      <c r="SR22" s="4"/>
      <c r="SS22" s="4"/>
      <c r="ST22" s="4"/>
      <c r="SU22" s="4"/>
      <c r="SV22" s="4"/>
      <c r="SW22" s="4"/>
      <c r="SX22" s="4"/>
      <c r="SY22" s="4"/>
      <c r="SZ22" s="4"/>
      <c r="TA22" s="4"/>
      <c r="TB22" s="4"/>
      <c r="TC22" s="4"/>
      <c r="TD22" s="4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  <c r="ABD22" s="4"/>
      <c r="ABE22" s="4"/>
      <c r="ABF22" s="4"/>
      <c r="ABG22" s="4"/>
      <c r="ABH22" s="4"/>
      <c r="ABI22" s="4"/>
      <c r="ABJ22" s="4"/>
      <c r="ABK22" s="4"/>
      <c r="ABL22" s="4"/>
      <c r="ABM22" s="4"/>
      <c r="ABN22" s="4"/>
      <c r="ABO22" s="4"/>
      <c r="ABP22" s="4"/>
      <c r="ABQ22" s="4"/>
      <c r="ABR22" s="4"/>
      <c r="ABS22" s="4"/>
      <c r="ABT22" s="4"/>
      <c r="ABU22" s="4"/>
      <c r="ABV22" s="4"/>
      <c r="ABW22" s="4"/>
      <c r="ABX22" s="4"/>
      <c r="ABY22" s="4"/>
      <c r="ABZ22" s="4"/>
      <c r="ACA22" s="4"/>
      <c r="ACB22" s="4"/>
      <c r="ACC22" s="4"/>
      <c r="ACD22" s="4"/>
      <c r="ACE22" s="4"/>
      <c r="ACF22" s="4"/>
      <c r="ACG22" s="4"/>
      <c r="ACH22" s="4"/>
      <c r="ACI22" s="4"/>
      <c r="ACJ22" s="4"/>
      <c r="ACK22" s="4"/>
      <c r="ACL22" s="4"/>
      <c r="ACM22" s="4"/>
      <c r="ACN22" s="4"/>
      <c r="ACO22" s="4"/>
      <c r="ACP22" s="4"/>
      <c r="ACQ22" s="4"/>
      <c r="ACR22" s="4"/>
      <c r="ACS22" s="4"/>
      <c r="ACT22" s="4"/>
      <c r="ACU22" s="4"/>
      <c r="ACV22" s="4"/>
      <c r="ACW22" s="4"/>
      <c r="ACX22" s="4"/>
      <c r="ACY22" s="4"/>
      <c r="ACZ22" s="4"/>
      <c r="ADA22" s="4"/>
      <c r="ADB22" s="4"/>
      <c r="ADC22" s="4"/>
      <c r="ADD22" s="4"/>
      <c r="ADE22" s="4"/>
      <c r="ADF22" s="4"/>
      <c r="ADG22" s="4"/>
      <c r="ADH22" s="4"/>
      <c r="ADI22" s="4"/>
      <c r="ADJ22" s="4"/>
      <c r="ADK22" s="4"/>
      <c r="ADL22" s="4"/>
      <c r="ADM22" s="4"/>
      <c r="ADN22" s="4"/>
      <c r="ADO22" s="4"/>
      <c r="ADP22" s="4"/>
      <c r="ADQ22" s="4"/>
      <c r="ADR22" s="4"/>
      <c r="ADS22" s="4"/>
      <c r="ADT22" s="4"/>
      <c r="ADU22" s="4"/>
      <c r="ADV22" s="4"/>
      <c r="ADW22" s="4"/>
      <c r="ADX22" s="4"/>
      <c r="ADY22" s="4"/>
      <c r="ADZ22" s="4"/>
      <c r="AEA22" s="4"/>
      <c r="AEB22" s="4"/>
      <c r="AEC22" s="4"/>
      <c r="AED22" s="4"/>
      <c r="AEE22" s="4"/>
      <c r="AEF22" s="4"/>
      <c r="AEG22" s="4"/>
      <c r="AEH22" s="4"/>
      <c r="AEI22" s="4"/>
      <c r="AEJ22" s="4"/>
      <c r="AEK22" s="4"/>
      <c r="AEL22" s="4"/>
      <c r="AEM22" s="4"/>
      <c r="AEN22" s="4"/>
      <c r="AEO22" s="4"/>
      <c r="AEP22" s="4"/>
      <c r="AEQ22" s="4"/>
      <c r="AER22" s="4"/>
      <c r="AES22" s="4"/>
      <c r="AET22" s="4"/>
      <c r="AEU22" s="4"/>
      <c r="AEV22" s="4"/>
      <c r="AEW22" s="4"/>
      <c r="AEX22" s="4"/>
      <c r="AEY22" s="4"/>
      <c r="AEZ22" s="4"/>
      <c r="AFA22" s="4"/>
      <c r="AFB22" s="4"/>
      <c r="AFC22" s="4"/>
      <c r="AFD22" s="4"/>
      <c r="AFE22" s="4"/>
      <c r="AFF22" s="4"/>
      <c r="AFG22" s="4"/>
      <c r="AFH22" s="4"/>
      <c r="AFI22" s="4"/>
      <c r="AFJ22" s="4"/>
      <c r="AFK22" s="4"/>
      <c r="AFL22" s="4"/>
      <c r="AFM22" s="4"/>
      <c r="AFN22" s="4"/>
      <c r="AFO22" s="4"/>
      <c r="AFP22" s="4"/>
      <c r="AFQ22" s="4"/>
      <c r="AFR22" s="4"/>
      <c r="AFS22" s="4"/>
      <c r="AFT22" s="4"/>
      <c r="AFU22" s="4"/>
      <c r="AFV22" s="4"/>
      <c r="AFW22" s="4"/>
      <c r="AFX22" s="4"/>
      <c r="AFY22" s="4"/>
      <c r="AFZ22" s="4"/>
      <c r="AGA22" s="4"/>
      <c r="AGB22" s="4"/>
      <c r="AGC22" s="4"/>
      <c r="AGD22" s="4"/>
      <c r="AGE22" s="4"/>
      <c r="AGF22" s="4"/>
      <c r="AGG22" s="4"/>
      <c r="AGH22" s="4"/>
      <c r="AGI22" s="4"/>
      <c r="AGJ22" s="4"/>
      <c r="AGK22" s="4"/>
      <c r="AGL22" s="4"/>
      <c r="AGM22" s="4"/>
      <c r="AGN22" s="4"/>
      <c r="AGO22" s="4"/>
      <c r="AGP22" s="4"/>
      <c r="AGQ22" s="4"/>
      <c r="AGR22" s="4"/>
      <c r="AGS22" s="4"/>
      <c r="AGT22" s="4"/>
      <c r="AGU22" s="4"/>
      <c r="AGV22" s="4"/>
      <c r="AGW22" s="4"/>
      <c r="AGX22" s="4"/>
      <c r="AGY22" s="4"/>
      <c r="AGZ22" s="4"/>
      <c r="AHA22" s="4"/>
      <c r="AHB22" s="4"/>
      <c r="AHC22" s="4"/>
      <c r="AHD22" s="4"/>
      <c r="AHE22" s="4"/>
      <c r="AHF22" s="4"/>
      <c r="AHG22" s="4"/>
      <c r="AHH22" s="4"/>
      <c r="AHI22" s="4"/>
      <c r="AHJ22" s="4"/>
      <c r="AHK22" s="4"/>
      <c r="AHL22" s="4"/>
      <c r="AHM22" s="4"/>
      <c r="AHN22" s="4"/>
      <c r="AHO22" s="4"/>
      <c r="AHP22" s="4"/>
      <c r="AHQ22" s="4"/>
      <c r="AHR22" s="4"/>
      <c r="AHS22" s="4"/>
      <c r="AHT22" s="4"/>
      <c r="AHU22" s="4"/>
      <c r="AHV22" s="4"/>
      <c r="AHW22" s="4"/>
      <c r="AHX22" s="4"/>
      <c r="AHY22" s="4"/>
      <c r="AHZ22" s="4"/>
      <c r="AIA22" s="4"/>
      <c r="AIB22" s="4"/>
      <c r="AIC22" s="4"/>
      <c r="AID22" s="4"/>
      <c r="AIE22" s="4"/>
      <c r="AIF22" s="4"/>
      <c r="AIG22" s="4"/>
      <c r="AIH22" s="4"/>
      <c r="AII22" s="4"/>
      <c r="AIJ22" s="4"/>
      <c r="AIK22" s="4"/>
      <c r="AIL22" s="4"/>
      <c r="AIM22" s="4"/>
      <c r="AIN22" s="4"/>
      <c r="AIO22" s="4"/>
      <c r="AIP22" s="4"/>
      <c r="AIQ22" s="4"/>
      <c r="AIR22" s="4"/>
      <c r="AIS22" s="4"/>
      <c r="AIT22" s="4"/>
      <c r="AIU22" s="4"/>
      <c r="AIV22" s="4"/>
      <c r="AIW22" s="4"/>
      <c r="AIX22" s="4"/>
      <c r="AIY22" s="4"/>
      <c r="AIZ22" s="4"/>
      <c r="AJA22" s="4"/>
      <c r="AJB22" s="4"/>
      <c r="AJC22" s="4"/>
      <c r="AJD22" s="4"/>
      <c r="AJE22" s="4"/>
      <c r="AJF22" s="4"/>
      <c r="AJG22" s="4"/>
      <c r="AJH22" s="4"/>
      <c r="AJI22" s="4"/>
      <c r="AJJ22" s="4"/>
      <c r="AJK22" s="4"/>
      <c r="AJL22" s="4"/>
      <c r="AJM22" s="4"/>
      <c r="AJN22" s="4"/>
      <c r="AJO22" s="4"/>
      <c r="AJP22" s="4"/>
      <c r="AJQ22" s="4"/>
      <c r="AJR22" s="4"/>
      <c r="AJS22" s="4"/>
      <c r="AJT22" s="4"/>
      <c r="AJU22" s="4"/>
      <c r="AJV22" s="4"/>
      <c r="AJW22" s="4"/>
      <c r="AJX22" s="4"/>
      <c r="AJY22" s="4"/>
      <c r="AJZ22" s="4"/>
      <c r="AKA22" s="4"/>
      <c r="AKB22" s="4"/>
      <c r="AKC22" s="4"/>
      <c r="AKD22" s="4"/>
      <c r="AKE22" s="4"/>
      <c r="AKF22" s="4"/>
      <c r="AKG22" s="4"/>
      <c r="AKH22" s="4"/>
      <c r="AKI22" s="4"/>
      <c r="AKJ22" s="4"/>
      <c r="AKK22" s="4"/>
      <c r="AKL22" s="4"/>
      <c r="AKM22" s="4"/>
      <c r="AKN22" s="4"/>
      <c r="AKO22" s="4"/>
      <c r="AKP22" s="4"/>
      <c r="AKQ22" s="4"/>
      <c r="AKR22" s="4"/>
      <c r="AKS22" s="4"/>
      <c r="AKT22" s="4"/>
      <c r="AKU22" s="4"/>
      <c r="AKV22" s="4"/>
      <c r="AKW22" s="4"/>
      <c r="AKX22" s="4"/>
      <c r="AKY22" s="4"/>
      <c r="AKZ22" s="4"/>
      <c r="ALA22" s="4"/>
      <c r="ALB22" s="4"/>
      <c r="ALC22" s="4"/>
      <c r="ALD22" s="4"/>
      <c r="ALE22" s="4"/>
      <c r="ALF22" s="4"/>
      <c r="ALG22" s="4"/>
      <c r="ALH22" s="4"/>
      <c r="ALI22" s="4"/>
      <c r="ALJ22" s="4"/>
      <c r="ALK22" s="4"/>
      <c r="ALL22" s="4"/>
    </row>
    <row r="23">
      <c r="A23" s="27" t="s">
        <v>52</v>
      </c>
      <c r="B23" s="8">
        <v>75.0</v>
      </c>
      <c r="C23" s="8">
        <v>0.0</v>
      </c>
      <c r="D23" s="8">
        <v>2.0</v>
      </c>
      <c r="E23" s="8">
        <v>10.0</v>
      </c>
      <c r="F23" s="8">
        <v>3.0</v>
      </c>
      <c r="G23" s="8">
        <v>1.0</v>
      </c>
      <c r="H23" s="8">
        <v>0.0</v>
      </c>
      <c r="I23" s="8">
        <v>0.0</v>
      </c>
      <c r="J23" s="8">
        <v>0.0</v>
      </c>
      <c r="K23" s="8">
        <v>2.0</v>
      </c>
      <c r="L23" s="8">
        <v>5.0</v>
      </c>
      <c r="M23" s="8">
        <v>3.0</v>
      </c>
      <c r="N23" s="8">
        <v>20.0</v>
      </c>
      <c r="O23" s="8">
        <v>3.0</v>
      </c>
      <c r="P23" s="8">
        <v>0.0</v>
      </c>
      <c r="Q23" s="8">
        <v>1.0</v>
      </c>
      <c r="R23" s="8">
        <v>16.0</v>
      </c>
      <c r="S23" s="8">
        <v>5.0</v>
      </c>
      <c r="T23" s="8">
        <v>3.0</v>
      </c>
      <c r="U23" s="8">
        <v>1.0</v>
      </c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  <c r="OO23" s="4"/>
      <c r="OP23" s="4"/>
      <c r="OQ23" s="4"/>
      <c r="OR23" s="4"/>
      <c r="OS23" s="4"/>
      <c r="OT23" s="4"/>
      <c r="OU23" s="4"/>
      <c r="OV23" s="4"/>
      <c r="OW23" s="4"/>
      <c r="OX23" s="4"/>
      <c r="OY23" s="4"/>
      <c r="OZ23" s="4"/>
      <c r="PA23" s="4"/>
      <c r="PB23" s="4"/>
      <c r="PC23" s="4"/>
      <c r="PD23" s="4"/>
      <c r="PE23" s="4"/>
      <c r="PF23" s="4"/>
      <c r="PG23" s="4"/>
      <c r="PH23" s="4"/>
      <c r="PI23" s="4"/>
      <c r="PJ23" s="4"/>
      <c r="PK23" s="4"/>
      <c r="PL23" s="4"/>
      <c r="PM23" s="4"/>
      <c r="PN23" s="4"/>
      <c r="PO23" s="4"/>
      <c r="PP23" s="4"/>
      <c r="PQ23" s="4"/>
      <c r="PR23" s="4"/>
      <c r="PS23" s="4"/>
      <c r="PT23" s="4"/>
      <c r="PU23" s="4"/>
      <c r="PV23" s="4"/>
      <c r="PW23" s="4"/>
      <c r="PX23" s="4"/>
      <c r="PY23" s="4"/>
      <c r="PZ23" s="4"/>
      <c r="QA23" s="4"/>
      <c r="QB23" s="4"/>
      <c r="QC23" s="4"/>
      <c r="QD23" s="4"/>
      <c r="QE23" s="4"/>
      <c r="QF23" s="4"/>
      <c r="QG23" s="4"/>
      <c r="QH23" s="4"/>
      <c r="QI23" s="4"/>
      <c r="QJ23" s="4"/>
      <c r="QK23" s="4"/>
      <c r="QL23" s="4"/>
      <c r="QM23" s="4"/>
      <c r="QN23" s="4"/>
      <c r="QO23" s="4"/>
      <c r="QP23" s="4"/>
      <c r="QQ23" s="4"/>
      <c r="QR23" s="4"/>
      <c r="QS23" s="4"/>
      <c r="QT23" s="4"/>
      <c r="QU23" s="4"/>
      <c r="QV23" s="4"/>
      <c r="QW23" s="4"/>
      <c r="QX23" s="4"/>
      <c r="QY23" s="4"/>
      <c r="QZ23" s="4"/>
      <c r="RA23" s="4"/>
      <c r="RB23" s="4"/>
      <c r="RC23" s="4"/>
      <c r="RD23" s="4"/>
      <c r="RE23" s="4"/>
      <c r="RF23" s="4"/>
      <c r="RG23" s="4"/>
      <c r="RH23" s="4"/>
      <c r="RI23" s="4"/>
      <c r="RJ23" s="4"/>
      <c r="RK23" s="4"/>
      <c r="RL23" s="4"/>
      <c r="RM23" s="4"/>
      <c r="RN23" s="4"/>
      <c r="RO23" s="4"/>
      <c r="RP23" s="4"/>
      <c r="RQ23" s="4"/>
      <c r="RR23" s="4"/>
      <c r="RS23" s="4"/>
      <c r="RT23" s="4"/>
      <c r="RU23" s="4"/>
      <c r="RV23" s="4"/>
      <c r="RW23" s="4"/>
      <c r="RX23" s="4"/>
      <c r="RY23" s="4"/>
      <c r="RZ23" s="4"/>
      <c r="SA23" s="4"/>
      <c r="SB23" s="4"/>
      <c r="SC23" s="4"/>
      <c r="SD23" s="4"/>
      <c r="SE23" s="4"/>
      <c r="SF23" s="4"/>
      <c r="SG23" s="4"/>
      <c r="SH23" s="4"/>
      <c r="SI23" s="4"/>
      <c r="SJ23" s="4"/>
      <c r="SK23" s="4"/>
      <c r="SL23" s="4"/>
      <c r="SM23" s="4"/>
      <c r="SN23" s="4"/>
      <c r="SO23" s="4"/>
      <c r="SP23" s="4"/>
      <c r="SQ23" s="4"/>
      <c r="SR23" s="4"/>
      <c r="SS23" s="4"/>
      <c r="ST23" s="4"/>
      <c r="SU23" s="4"/>
      <c r="SV23" s="4"/>
      <c r="SW23" s="4"/>
      <c r="SX23" s="4"/>
      <c r="SY23" s="4"/>
      <c r="SZ23" s="4"/>
      <c r="TA23" s="4"/>
      <c r="TB23" s="4"/>
      <c r="TC23" s="4"/>
      <c r="TD23" s="4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WP23" s="4"/>
      <c r="WQ23" s="4"/>
      <c r="WR23" s="4"/>
      <c r="WS23" s="4"/>
      <c r="WT23" s="4"/>
      <c r="WU23" s="4"/>
      <c r="WV23" s="4"/>
      <c r="WW23" s="4"/>
      <c r="WX23" s="4"/>
      <c r="WY23" s="4"/>
      <c r="WZ23" s="4"/>
      <c r="XA23" s="4"/>
      <c r="XB23" s="4"/>
      <c r="XC23" s="4"/>
      <c r="XD23" s="4"/>
      <c r="XE23" s="4"/>
      <c r="XF23" s="4"/>
      <c r="XG23" s="4"/>
      <c r="XH23" s="4"/>
      <c r="XI23" s="4"/>
      <c r="XJ23" s="4"/>
      <c r="XK23" s="4"/>
      <c r="XL23" s="4"/>
      <c r="XM23" s="4"/>
      <c r="XN23" s="4"/>
      <c r="XO23" s="4"/>
      <c r="XP23" s="4"/>
      <c r="XQ23" s="4"/>
      <c r="XR23" s="4"/>
      <c r="XS23" s="4"/>
      <c r="XT23" s="4"/>
      <c r="XU23" s="4"/>
      <c r="XV23" s="4"/>
      <c r="XW23" s="4"/>
      <c r="XX23" s="4"/>
      <c r="XY23" s="4"/>
      <c r="XZ23" s="4"/>
      <c r="YA23" s="4"/>
      <c r="YB23" s="4"/>
      <c r="YC23" s="4"/>
      <c r="YD23" s="4"/>
      <c r="YE23" s="4"/>
      <c r="YF23" s="4"/>
      <c r="YG23" s="4"/>
      <c r="YH23" s="4"/>
      <c r="YI23" s="4"/>
      <c r="YJ23" s="4"/>
      <c r="YK23" s="4"/>
      <c r="YL23" s="4"/>
      <c r="YM23" s="4"/>
      <c r="YN23" s="4"/>
      <c r="YO23" s="4"/>
      <c r="YP23" s="4"/>
      <c r="YQ23" s="4"/>
      <c r="YR23" s="4"/>
      <c r="YS23" s="4"/>
      <c r="YT23" s="4"/>
      <c r="YU23" s="4"/>
      <c r="YV23" s="4"/>
      <c r="YW23" s="4"/>
      <c r="YX23" s="4"/>
      <c r="YY23" s="4"/>
      <c r="YZ23" s="4"/>
      <c r="ZA23" s="4"/>
      <c r="ZB23" s="4"/>
      <c r="ZC23" s="4"/>
      <c r="ZD23" s="4"/>
      <c r="ZE23" s="4"/>
      <c r="ZF23" s="4"/>
      <c r="ZG23" s="4"/>
      <c r="ZH23" s="4"/>
      <c r="ZI23" s="4"/>
      <c r="ZJ23" s="4"/>
      <c r="ZK23" s="4"/>
      <c r="ZL23" s="4"/>
      <c r="ZM23" s="4"/>
      <c r="ZN23" s="4"/>
      <c r="ZO23" s="4"/>
      <c r="ZP23" s="4"/>
      <c r="ZQ23" s="4"/>
      <c r="ZR23" s="4"/>
      <c r="ZS23" s="4"/>
      <c r="ZT23" s="4"/>
      <c r="ZU23" s="4"/>
      <c r="ZV23" s="4"/>
      <c r="ZW23" s="4"/>
      <c r="ZX23" s="4"/>
      <c r="ZY23" s="4"/>
      <c r="ZZ23" s="4"/>
      <c r="AAA23" s="4"/>
      <c r="AAB23" s="4"/>
      <c r="AAC23" s="4"/>
      <c r="AAD23" s="4"/>
      <c r="AAE23" s="4"/>
      <c r="AAF23" s="4"/>
      <c r="AAG23" s="4"/>
      <c r="AAH23" s="4"/>
      <c r="AAI23" s="4"/>
      <c r="AAJ23" s="4"/>
      <c r="AAK23" s="4"/>
      <c r="AAL23" s="4"/>
      <c r="AAM23" s="4"/>
      <c r="AAN23" s="4"/>
      <c r="AAO23" s="4"/>
      <c r="AAP23" s="4"/>
      <c r="AAQ23" s="4"/>
      <c r="AAR23" s="4"/>
      <c r="AAS23" s="4"/>
      <c r="AAT23" s="4"/>
      <c r="AAU23" s="4"/>
      <c r="AAV23" s="4"/>
      <c r="AAW23" s="4"/>
      <c r="AAX23" s="4"/>
      <c r="AAY23" s="4"/>
      <c r="AAZ23" s="4"/>
      <c r="ABA23" s="4"/>
      <c r="ABB23" s="4"/>
      <c r="ABC23" s="4"/>
      <c r="ABD23" s="4"/>
      <c r="ABE23" s="4"/>
      <c r="ABF23" s="4"/>
      <c r="ABG23" s="4"/>
      <c r="ABH23" s="4"/>
      <c r="ABI23" s="4"/>
      <c r="ABJ23" s="4"/>
      <c r="ABK23" s="4"/>
      <c r="ABL23" s="4"/>
      <c r="ABM23" s="4"/>
      <c r="ABN23" s="4"/>
      <c r="ABO23" s="4"/>
      <c r="ABP23" s="4"/>
      <c r="ABQ23" s="4"/>
      <c r="ABR23" s="4"/>
      <c r="ABS23" s="4"/>
      <c r="ABT23" s="4"/>
      <c r="ABU23" s="4"/>
      <c r="ABV23" s="4"/>
      <c r="ABW23" s="4"/>
      <c r="ABX23" s="4"/>
      <c r="ABY23" s="4"/>
      <c r="ABZ23" s="4"/>
      <c r="ACA23" s="4"/>
      <c r="ACB23" s="4"/>
      <c r="ACC23" s="4"/>
      <c r="ACD23" s="4"/>
      <c r="ACE23" s="4"/>
      <c r="ACF23" s="4"/>
      <c r="ACG23" s="4"/>
      <c r="ACH23" s="4"/>
      <c r="ACI23" s="4"/>
      <c r="ACJ23" s="4"/>
      <c r="ACK23" s="4"/>
      <c r="ACL23" s="4"/>
      <c r="ACM23" s="4"/>
      <c r="ACN23" s="4"/>
      <c r="ACO23" s="4"/>
      <c r="ACP23" s="4"/>
      <c r="ACQ23" s="4"/>
      <c r="ACR23" s="4"/>
      <c r="ACS23" s="4"/>
      <c r="ACT23" s="4"/>
      <c r="ACU23" s="4"/>
      <c r="ACV23" s="4"/>
      <c r="ACW23" s="4"/>
      <c r="ACX23" s="4"/>
      <c r="ACY23" s="4"/>
      <c r="ACZ23" s="4"/>
      <c r="ADA23" s="4"/>
      <c r="ADB23" s="4"/>
      <c r="ADC23" s="4"/>
      <c r="ADD23" s="4"/>
      <c r="ADE23" s="4"/>
      <c r="ADF23" s="4"/>
      <c r="ADG23" s="4"/>
      <c r="ADH23" s="4"/>
      <c r="ADI23" s="4"/>
      <c r="ADJ23" s="4"/>
      <c r="ADK23" s="4"/>
      <c r="ADL23" s="4"/>
      <c r="ADM23" s="4"/>
      <c r="ADN23" s="4"/>
      <c r="ADO23" s="4"/>
      <c r="ADP23" s="4"/>
      <c r="ADQ23" s="4"/>
      <c r="ADR23" s="4"/>
      <c r="ADS23" s="4"/>
      <c r="ADT23" s="4"/>
      <c r="ADU23" s="4"/>
      <c r="ADV23" s="4"/>
      <c r="ADW23" s="4"/>
      <c r="ADX23" s="4"/>
      <c r="ADY23" s="4"/>
      <c r="ADZ23" s="4"/>
      <c r="AEA23" s="4"/>
      <c r="AEB23" s="4"/>
      <c r="AEC23" s="4"/>
      <c r="AED23" s="4"/>
      <c r="AEE23" s="4"/>
      <c r="AEF23" s="4"/>
      <c r="AEG23" s="4"/>
      <c r="AEH23" s="4"/>
      <c r="AEI23" s="4"/>
      <c r="AEJ23" s="4"/>
      <c r="AEK23" s="4"/>
      <c r="AEL23" s="4"/>
      <c r="AEM23" s="4"/>
      <c r="AEN23" s="4"/>
      <c r="AEO23" s="4"/>
      <c r="AEP23" s="4"/>
      <c r="AEQ23" s="4"/>
      <c r="AER23" s="4"/>
      <c r="AES23" s="4"/>
      <c r="AET23" s="4"/>
      <c r="AEU23" s="4"/>
      <c r="AEV23" s="4"/>
      <c r="AEW23" s="4"/>
      <c r="AEX23" s="4"/>
      <c r="AEY23" s="4"/>
      <c r="AEZ23" s="4"/>
      <c r="AFA23" s="4"/>
      <c r="AFB23" s="4"/>
      <c r="AFC23" s="4"/>
      <c r="AFD23" s="4"/>
      <c r="AFE23" s="4"/>
      <c r="AFF23" s="4"/>
      <c r="AFG23" s="4"/>
      <c r="AFH23" s="4"/>
      <c r="AFI23" s="4"/>
      <c r="AFJ23" s="4"/>
      <c r="AFK23" s="4"/>
      <c r="AFL23" s="4"/>
      <c r="AFM23" s="4"/>
      <c r="AFN23" s="4"/>
      <c r="AFO23" s="4"/>
      <c r="AFP23" s="4"/>
      <c r="AFQ23" s="4"/>
      <c r="AFR23" s="4"/>
      <c r="AFS23" s="4"/>
      <c r="AFT23" s="4"/>
      <c r="AFU23" s="4"/>
      <c r="AFV23" s="4"/>
      <c r="AFW23" s="4"/>
      <c r="AFX23" s="4"/>
      <c r="AFY23" s="4"/>
      <c r="AFZ23" s="4"/>
      <c r="AGA23" s="4"/>
      <c r="AGB23" s="4"/>
      <c r="AGC23" s="4"/>
      <c r="AGD23" s="4"/>
      <c r="AGE23" s="4"/>
      <c r="AGF23" s="4"/>
      <c r="AGG23" s="4"/>
      <c r="AGH23" s="4"/>
      <c r="AGI23" s="4"/>
      <c r="AGJ23" s="4"/>
      <c r="AGK23" s="4"/>
      <c r="AGL23" s="4"/>
      <c r="AGM23" s="4"/>
      <c r="AGN23" s="4"/>
      <c r="AGO23" s="4"/>
      <c r="AGP23" s="4"/>
      <c r="AGQ23" s="4"/>
      <c r="AGR23" s="4"/>
      <c r="AGS23" s="4"/>
      <c r="AGT23" s="4"/>
      <c r="AGU23" s="4"/>
      <c r="AGV23" s="4"/>
      <c r="AGW23" s="4"/>
      <c r="AGX23" s="4"/>
      <c r="AGY23" s="4"/>
      <c r="AGZ23" s="4"/>
      <c r="AHA23" s="4"/>
      <c r="AHB23" s="4"/>
      <c r="AHC23" s="4"/>
      <c r="AHD23" s="4"/>
      <c r="AHE23" s="4"/>
      <c r="AHF23" s="4"/>
      <c r="AHG23" s="4"/>
      <c r="AHH23" s="4"/>
      <c r="AHI23" s="4"/>
      <c r="AHJ23" s="4"/>
      <c r="AHK23" s="4"/>
      <c r="AHL23" s="4"/>
      <c r="AHM23" s="4"/>
      <c r="AHN23" s="4"/>
      <c r="AHO23" s="4"/>
      <c r="AHP23" s="4"/>
      <c r="AHQ23" s="4"/>
      <c r="AHR23" s="4"/>
      <c r="AHS23" s="4"/>
      <c r="AHT23" s="4"/>
      <c r="AHU23" s="4"/>
      <c r="AHV23" s="4"/>
      <c r="AHW23" s="4"/>
      <c r="AHX23" s="4"/>
      <c r="AHY23" s="4"/>
      <c r="AHZ23" s="4"/>
      <c r="AIA23" s="4"/>
      <c r="AIB23" s="4"/>
      <c r="AIC23" s="4"/>
      <c r="AID23" s="4"/>
      <c r="AIE23" s="4"/>
      <c r="AIF23" s="4"/>
      <c r="AIG23" s="4"/>
      <c r="AIH23" s="4"/>
      <c r="AII23" s="4"/>
      <c r="AIJ23" s="4"/>
      <c r="AIK23" s="4"/>
      <c r="AIL23" s="4"/>
      <c r="AIM23" s="4"/>
      <c r="AIN23" s="4"/>
      <c r="AIO23" s="4"/>
      <c r="AIP23" s="4"/>
      <c r="AIQ23" s="4"/>
      <c r="AIR23" s="4"/>
      <c r="AIS23" s="4"/>
      <c r="AIT23" s="4"/>
      <c r="AIU23" s="4"/>
      <c r="AIV23" s="4"/>
      <c r="AIW23" s="4"/>
      <c r="AIX23" s="4"/>
      <c r="AIY23" s="4"/>
      <c r="AIZ23" s="4"/>
      <c r="AJA23" s="4"/>
      <c r="AJB23" s="4"/>
      <c r="AJC23" s="4"/>
      <c r="AJD23" s="4"/>
      <c r="AJE23" s="4"/>
      <c r="AJF23" s="4"/>
      <c r="AJG23" s="4"/>
      <c r="AJH23" s="4"/>
      <c r="AJI23" s="4"/>
      <c r="AJJ23" s="4"/>
      <c r="AJK23" s="4"/>
      <c r="AJL23" s="4"/>
      <c r="AJM23" s="4"/>
      <c r="AJN23" s="4"/>
      <c r="AJO23" s="4"/>
      <c r="AJP23" s="4"/>
      <c r="AJQ23" s="4"/>
      <c r="AJR23" s="4"/>
      <c r="AJS23" s="4"/>
      <c r="AJT23" s="4"/>
      <c r="AJU23" s="4"/>
      <c r="AJV23" s="4"/>
      <c r="AJW23" s="4"/>
      <c r="AJX23" s="4"/>
      <c r="AJY23" s="4"/>
      <c r="AJZ23" s="4"/>
      <c r="AKA23" s="4"/>
      <c r="AKB23" s="4"/>
      <c r="AKC23" s="4"/>
      <c r="AKD23" s="4"/>
      <c r="AKE23" s="4"/>
      <c r="AKF23" s="4"/>
      <c r="AKG23" s="4"/>
      <c r="AKH23" s="4"/>
      <c r="AKI23" s="4"/>
      <c r="AKJ23" s="4"/>
      <c r="AKK23" s="4"/>
      <c r="AKL23" s="4"/>
      <c r="AKM23" s="4"/>
      <c r="AKN23" s="4"/>
      <c r="AKO23" s="4"/>
      <c r="AKP23" s="4"/>
      <c r="AKQ23" s="4"/>
      <c r="AKR23" s="4"/>
      <c r="AKS23" s="4"/>
      <c r="AKT23" s="4"/>
      <c r="AKU23" s="4"/>
      <c r="AKV23" s="4"/>
      <c r="AKW23" s="4"/>
      <c r="AKX23" s="4"/>
      <c r="AKY23" s="4"/>
      <c r="AKZ23" s="4"/>
      <c r="ALA23" s="4"/>
      <c r="ALB23" s="4"/>
      <c r="ALC23" s="4"/>
      <c r="ALD23" s="4"/>
      <c r="ALE23" s="4"/>
      <c r="ALF23" s="4"/>
      <c r="ALG23" s="4"/>
      <c r="ALH23" s="4"/>
      <c r="ALI23" s="4"/>
      <c r="ALJ23" s="4"/>
      <c r="ALK23" s="4"/>
      <c r="ALL23" s="4"/>
    </row>
    <row r="24">
      <c r="A24" s="40" t="s">
        <v>54</v>
      </c>
      <c r="B24" s="14">
        <v>95.0</v>
      </c>
      <c r="C24" s="14">
        <v>26.0</v>
      </c>
      <c r="D24" s="14">
        <v>1.0</v>
      </c>
      <c r="E24" s="14">
        <v>36.0</v>
      </c>
      <c r="F24" s="14">
        <v>0.0</v>
      </c>
      <c r="G24" s="14">
        <v>0.0</v>
      </c>
      <c r="H24" s="14">
        <v>0.0</v>
      </c>
      <c r="I24" s="14">
        <v>1.0</v>
      </c>
      <c r="J24" s="14">
        <v>0.0</v>
      </c>
      <c r="K24" s="14">
        <v>0.0</v>
      </c>
      <c r="L24" s="14">
        <v>1.0</v>
      </c>
      <c r="M24" s="14">
        <v>0.0</v>
      </c>
      <c r="N24" s="14">
        <v>12.0</v>
      </c>
      <c r="O24" s="14">
        <v>0.0</v>
      </c>
      <c r="P24" s="14">
        <v>0.0</v>
      </c>
      <c r="Q24" s="14">
        <v>1.0</v>
      </c>
      <c r="R24" s="14">
        <v>7.0</v>
      </c>
      <c r="S24" s="14">
        <v>6.0</v>
      </c>
      <c r="T24" s="14">
        <v>4.0</v>
      </c>
      <c r="U24" s="14">
        <v>0.0</v>
      </c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"/>
      <c r="OV24" s="4"/>
      <c r="OW24" s="4"/>
      <c r="OX24" s="4"/>
      <c r="OY24" s="4"/>
      <c r="OZ24" s="4"/>
      <c r="PA24" s="4"/>
      <c r="PB24" s="4"/>
      <c r="PC24" s="4"/>
      <c r="PD24" s="4"/>
      <c r="PE24" s="4"/>
      <c r="PF24" s="4"/>
      <c r="PG24" s="4"/>
      <c r="PH24" s="4"/>
      <c r="PI24" s="4"/>
      <c r="PJ24" s="4"/>
      <c r="PK24" s="4"/>
      <c r="PL24" s="4"/>
      <c r="PM24" s="4"/>
      <c r="PN24" s="4"/>
      <c r="PO24" s="4"/>
      <c r="PP24" s="4"/>
      <c r="PQ24" s="4"/>
      <c r="PR24" s="4"/>
      <c r="PS24" s="4"/>
      <c r="PT24" s="4"/>
      <c r="PU24" s="4"/>
      <c r="PV24" s="4"/>
      <c r="PW24" s="4"/>
      <c r="PX24" s="4"/>
      <c r="PY24" s="4"/>
      <c r="PZ24" s="4"/>
      <c r="QA24" s="4"/>
      <c r="QB24" s="4"/>
      <c r="QC24" s="4"/>
      <c r="QD24" s="4"/>
      <c r="QE24" s="4"/>
      <c r="QF24" s="4"/>
      <c r="QG24" s="4"/>
      <c r="QH24" s="4"/>
      <c r="QI24" s="4"/>
      <c r="QJ24" s="4"/>
      <c r="QK24" s="4"/>
      <c r="QL24" s="4"/>
      <c r="QM24" s="4"/>
      <c r="QN24" s="4"/>
      <c r="QO24" s="4"/>
      <c r="QP24" s="4"/>
      <c r="QQ24" s="4"/>
      <c r="QR24" s="4"/>
      <c r="QS24" s="4"/>
      <c r="QT24" s="4"/>
      <c r="QU24" s="4"/>
      <c r="QV24" s="4"/>
      <c r="QW24" s="4"/>
      <c r="QX24" s="4"/>
      <c r="QY24" s="4"/>
      <c r="QZ24" s="4"/>
      <c r="RA24" s="4"/>
      <c r="RB24" s="4"/>
      <c r="RC24" s="4"/>
      <c r="RD24" s="4"/>
      <c r="RE24" s="4"/>
      <c r="RF24" s="4"/>
      <c r="RG24" s="4"/>
      <c r="RH24" s="4"/>
      <c r="RI24" s="4"/>
      <c r="RJ24" s="4"/>
      <c r="RK24" s="4"/>
      <c r="RL24" s="4"/>
      <c r="RM24" s="4"/>
      <c r="RN24" s="4"/>
      <c r="RO24" s="4"/>
      <c r="RP24" s="4"/>
      <c r="RQ24" s="4"/>
      <c r="RR24" s="4"/>
      <c r="RS24" s="4"/>
      <c r="RT24" s="4"/>
      <c r="RU24" s="4"/>
      <c r="RV24" s="4"/>
      <c r="RW24" s="4"/>
      <c r="RX24" s="4"/>
      <c r="RY24" s="4"/>
      <c r="RZ24" s="4"/>
      <c r="SA24" s="4"/>
      <c r="SB24" s="4"/>
      <c r="SC24" s="4"/>
      <c r="SD24" s="4"/>
      <c r="SE24" s="4"/>
      <c r="SF24" s="4"/>
      <c r="SG24" s="4"/>
      <c r="SH24" s="4"/>
      <c r="SI24" s="4"/>
      <c r="SJ24" s="4"/>
      <c r="SK24" s="4"/>
      <c r="SL24" s="4"/>
      <c r="SM24" s="4"/>
      <c r="SN24" s="4"/>
      <c r="SO24" s="4"/>
      <c r="SP24" s="4"/>
      <c r="SQ24" s="4"/>
      <c r="SR24" s="4"/>
      <c r="SS24" s="4"/>
      <c r="ST24" s="4"/>
      <c r="SU24" s="4"/>
      <c r="SV24" s="4"/>
      <c r="SW24" s="4"/>
      <c r="SX24" s="4"/>
      <c r="SY24" s="4"/>
      <c r="SZ24" s="4"/>
      <c r="TA24" s="4"/>
      <c r="TB24" s="4"/>
      <c r="TC24" s="4"/>
      <c r="TD24" s="4"/>
      <c r="TE24" s="4"/>
      <c r="TF24" s="4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  <c r="WE24" s="4"/>
      <c r="WF24" s="4"/>
      <c r="WG24" s="4"/>
      <c r="WH24" s="4"/>
      <c r="WI24" s="4"/>
      <c r="WJ24" s="4"/>
      <c r="WK24" s="4"/>
      <c r="WL24" s="4"/>
      <c r="WM24" s="4"/>
      <c r="WN24" s="4"/>
      <c r="WO24" s="4"/>
      <c r="WP24" s="4"/>
      <c r="WQ24" s="4"/>
      <c r="WR24" s="4"/>
      <c r="WS24" s="4"/>
      <c r="WT24" s="4"/>
      <c r="WU24" s="4"/>
      <c r="WV24" s="4"/>
      <c r="WW24" s="4"/>
      <c r="WX24" s="4"/>
      <c r="WY24" s="4"/>
      <c r="WZ24" s="4"/>
      <c r="XA24" s="4"/>
      <c r="XB24" s="4"/>
      <c r="XC24" s="4"/>
      <c r="XD24" s="4"/>
      <c r="XE24" s="4"/>
      <c r="XF24" s="4"/>
      <c r="XG24" s="4"/>
      <c r="XH24" s="4"/>
      <c r="XI24" s="4"/>
      <c r="XJ24" s="4"/>
      <c r="XK24" s="4"/>
      <c r="XL24" s="4"/>
      <c r="XM24" s="4"/>
      <c r="XN24" s="4"/>
      <c r="XO24" s="4"/>
      <c r="XP24" s="4"/>
      <c r="XQ24" s="4"/>
      <c r="XR24" s="4"/>
      <c r="XS24" s="4"/>
      <c r="XT24" s="4"/>
      <c r="XU24" s="4"/>
      <c r="XV24" s="4"/>
      <c r="XW24" s="4"/>
      <c r="XX24" s="4"/>
      <c r="XY24" s="4"/>
      <c r="XZ24" s="4"/>
      <c r="YA24" s="4"/>
      <c r="YB24" s="4"/>
      <c r="YC24" s="4"/>
      <c r="YD24" s="4"/>
      <c r="YE24" s="4"/>
      <c r="YF24" s="4"/>
      <c r="YG24" s="4"/>
      <c r="YH24" s="4"/>
      <c r="YI24" s="4"/>
      <c r="YJ24" s="4"/>
      <c r="YK24" s="4"/>
      <c r="YL24" s="4"/>
      <c r="YM24" s="4"/>
      <c r="YN24" s="4"/>
      <c r="YO24" s="4"/>
      <c r="YP24" s="4"/>
      <c r="YQ24" s="4"/>
      <c r="YR24" s="4"/>
      <c r="YS24" s="4"/>
      <c r="YT24" s="4"/>
      <c r="YU24" s="4"/>
      <c r="YV24" s="4"/>
      <c r="YW24" s="4"/>
      <c r="YX24" s="4"/>
      <c r="YY24" s="4"/>
      <c r="YZ24" s="4"/>
      <c r="ZA24" s="4"/>
      <c r="ZB24" s="4"/>
      <c r="ZC24" s="4"/>
      <c r="ZD24" s="4"/>
      <c r="ZE24" s="4"/>
      <c r="ZF24" s="4"/>
      <c r="ZG24" s="4"/>
      <c r="ZH24" s="4"/>
      <c r="ZI24" s="4"/>
      <c r="ZJ24" s="4"/>
      <c r="ZK24" s="4"/>
      <c r="ZL24" s="4"/>
      <c r="ZM24" s="4"/>
      <c r="ZN24" s="4"/>
      <c r="ZO24" s="4"/>
      <c r="ZP24" s="4"/>
      <c r="ZQ24" s="4"/>
      <c r="ZR24" s="4"/>
      <c r="ZS24" s="4"/>
      <c r="ZT24" s="4"/>
      <c r="ZU24" s="4"/>
      <c r="ZV24" s="4"/>
      <c r="ZW24" s="4"/>
      <c r="ZX24" s="4"/>
      <c r="ZY24" s="4"/>
      <c r="ZZ24" s="4"/>
      <c r="AAA24" s="4"/>
      <c r="AAB24" s="4"/>
      <c r="AAC24" s="4"/>
      <c r="AAD24" s="4"/>
      <c r="AAE24" s="4"/>
      <c r="AAF24" s="4"/>
      <c r="AAG24" s="4"/>
      <c r="AAH24" s="4"/>
      <c r="AAI24" s="4"/>
      <c r="AAJ24" s="4"/>
      <c r="AAK24" s="4"/>
      <c r="AAL24" s="4"/>
      <c r="AAM24" s="4"/>
      <c r="AAN24" s="4"/>
      <c r="AAO24" s="4"/>
      <c r="AAP24" s="4"/>
      <c r="AAQ24" s="4"/>
      <c r="AAR24" s="4"/>
      <c r="AAS24" s="4"/>
      <c r="AAT24" s="4"/>
      <c r="AAU24" s="4"/>
      <c r="AAV24" s="4"/>
      <c r="AAW24" s="4"/>
      <c r="AAX24" s="4"/>
      <c r="AAY24" s="4"/>
      <c r="AAZ24" s="4"/>
      <c r="ABA24" s="4"/>
      <c r="ABB24" s="4"/>
      <c r="ABC24" s="4"/>
      <c r="ABD24" s="4"/>
      <c r="ABE24" s="4"/>
      <c r="ABF24" s="4"/>
      <c r="ABG24" s="4"/>
      <c r="ABH24" s="4"/>
      <c r="ABI24" s="4"/>
      <c r="ABJ24" s="4"/>
      <c r="ABK24" s="4"/>
      <c r="ABL24" s="4"/>
      <c r="ABM24" s="4"/>
      <c r="ABN24" s="4"/>
      <c r="ABO24" s="4"/>
      <c r="ABP24" s="4"/>
      <c r="ABQ24" s="4"/>
      <c r="ABR24" s="4"/>
      <c r="ABS24" s="4"/>
      <c r="ABT24" s="4"/>
      <c r="ABU24" s="4"/>
      <c r="ABV24" s="4"/>
      <c r="ABW24" s="4"/>
      <c r="ABX24" s="4"/>
      <c r="ABY24" s="4"/>
      <c r="ABZ24" s="4"/>
      <c r="ACA24" s="4"/>
      <c r="ACB24" s="4"/>
      <c r="ACC24" s="4"/>
      <c r="ACD24" s="4"/>
      <c r="ACE24" s="4"/>
      <c r="ACF24" s="4"/>
      <c r="ACG24" s="4"/>
      <c r="ACH24" s="4"/>
      <c r="ACI24" s="4"/>
      <c r="ACJ24" s="4"/>
      <c r="ACK24" s="4"/>
      <c r="ACL24" s="4"/>
      <c r="ACM24" s="4"/>
      <c r="ACN24" s="4"/>
      <c r="ACO24" s="4"/>
      <c r="ACP24" s="4"/>
      <c r="ACQ24" s="4"/>
      <c r="ACR24" s="4"/>
      <c r="ACS24" s="4"/>
      <c r="ACT24" s="4"/>
      <c r="ACU24" s="4"/>
      <c r="ACV24" s="4"/>
      <c r="ACW24" s="4"/>
      <c r="ACX24" s="4"/>
      <c r="ACY24" s="4"/>
      <c r="ACZ24" s="4"/>
      <c r="ADA24" s="4"/>
      <c r="ADB24" s="4"/>
      <c r="ADC24" s="4"/>
      <c r="ADD24" s="4"/>
      <c r="ADE24" s="4"/>
      <c r="ADF24" s="4"/>
      <c r="ADG24" s="4"/>
      <c r="ADH24" s="4"/>
      <c r="ADI24" s="4"/>
      <c r="ADJ24" s="4"/>
      <c r="ADK24" s="4"/>
      <c r="ADL24" s="4"/>
      <c r="ADM24" s="4"/>
      <c r="ADN24" s="4"/>
      <c r="ADO24" s="4"/>
      <c r="ADP24" s="4"/>
      <c r="ADQ24" s="4"/>
      <c r="ADR24" s="4"/>
      <c r="ADS24" s="4"/>
      <c r="ADT24" s="4"/>
      <c r="ADU24" s="4"/>
      <c r="ADV24" s="4"/>
      <c r="ADW24" s="4"/>
      <c r="ADX24" s="4"/>
      <c r="ADY24" s="4"/>
      <c r="ADZ24" s="4"/>
      <c r="AEA24" s="4"/>
      <c r="AEB24" s="4"/>
      <c r="AEC24" s="4"/>
      <c r="AED24" s="4"/>
      <c r="AEE24" s="4"/>
      <c r="AEF24" s="4"/>
      <c r="AEG24" s="4"/>
      <c r="AEH24" s="4"/>
      <c r="AEI24" s="4"/>
      <c r="AEJ24" s="4"/>
      <c r="AEK24" s="4"/>
      <c r="AEL24" s="4"/>
      <c r="AEM24" s="4"/>
      <c r="AEN24" s="4"/>
      <c r="AEO24" s="4"/>
      <c r="AEP24" s="4"/>
      <c r="AEQ24" s="4"/>
      <c r="AER24" s="4"/>
      <c r="AES24" s="4"/>
      <c r="AET24" s="4"/>
      <c r="AEU24" s="4"/>
      <c r="AEV24" s="4"/>
      <c r="AEW24" s="4"/>
      <c r="AEX24" s="4"/>
      <c r="AEY24" s="4"/>
      <c r="AEZ24" s="4"/>
      <c r="AFA24" s="4"/>
      <c r="AFB24" s="4"/>
      <c r="AFC24" s="4"/>
      <c r="AFD24" s="4"/>
      <c r="AFE24" s="4"/>
      <c r="AFF24" s="4"/>
      <c r="AFG24" s="4"/>
      <c r="AFH24" s="4"/>
      <c r="AFI24" s="4"/>
      <c r="AFJ24" s="4"/>
      <c r="AFK24" s="4"/>
      <c r="AFL24" s="4"/>
      <c r="AFM24" s="4"/>
      <c r="AFN24" s="4"/>
      <c r="AFO24" s="4"/>
      <c r="AFP24" s="4"/>
      <c r="AFQ24" s="4"/>
      <c r="AFR24" s="4"/>
      <c r="AFS24" s="4"/>
      <c r="AFT24" s="4"/>
      <c r="AFU24" s="4"/>
      <c r="AFV24" s="4"/>
      <c r="AFW24" s="4"/>
      <c r="AFX24" s="4"/>
      <c r="AFY24" s="4"/>
      <c r="AFZ24" s="4"/>
      <c r="AGA24" s="4"/>
      <c r="AGB24" s="4"/>
      <c r="AGC24" s="4"/>
      <c r="AGD24" s="4"/>
      <c r="AGE24" s="4"/>
      <c r="AGF24" s="4"/>
      <c r="AGG24" s="4"/>
      <c r="AGH24" s="4"/>
      <c r="AGI24" s="4"/>
      <c r="AGJ24" s="4"/>
      <c r="AGK24" s="4"/>
      <c r="AGL24" s="4"/>
      <c r="AGM24" s="4"/>
      <c r="AGN24" s="4"/>
      <c r="AGO24" s="4"/>
      <c r="AGP24" s="4"/>
      <c r="AGQ24" s="4"/>
      <c r="AGR24" s="4"/>
      <c r="AGS24" s="4"/>
      <c r="AGT24" s="4"/>
      <c r="AGU24" s="4"/>
      <c r="AGV24" s="4"/>
      <c r="AGW24" s="4"/>
      <c r="AGX24" s="4"/>
      <c r="AGY24" s="4"/>
      <c r="AGZ24" s="4"/>
      <c r="AHA24" s="4"/>
      <c r="AHB24" s="4"/>
      <c r="AHC24" s="4"/>
      <c r="AHD24" s="4"/>
      <c r="AHE24" s="4"/>
      <c r="AHF24" s="4"/>
      <c r="AHG24" s="4"/>
      <c r="AHH24" s="4"/>
      <c r="AHI24" s="4"/>
      <c r="AHJ24" s="4"/>
      <c r="AHK24" s="4"/>
      <c r="AHL24" s="4"/>
      <c r="AHM24" s="4"/>
      <c r="AHN24" s="4"/>
      <c r="AHO24" s="4"/>
      <c r="AHP24" s="4"/>
      <c r="AHQ24" s="4"/>
      <c r="AHR24" s="4"/>
      <c r="AHS24" s="4"/>
      <c r="AHT24" s="4"/>
      <c r="AHU24" s="4"/>
      <c r="AHV24" s="4"/>
      <c r="AHW24" s="4"/>
      <c r="AHX24" s="4"/>
      <c r="AHY24" s="4"/>
      <c r="AHZ24" s="4"/>
      <c r="AIA24" s="4"/>
      <c r="AIB24" s="4"/>
      <c r="AIC24" s="4"/>
      <c r="AID24" s="4"/>
      <c r="AIE24" s="4"/>
      <c r="AIF24" s="4"/>
      <c r="AIG24" s="4"/>
      <c r="AIH24" s="4"/>
      <c r="AII24" s="4"/>
      <c r="AIJ24" s="4"/>
      <c r="AIK24" s="4"/>
      <c r="AIL24" s="4"/>
      <c r="AIM24" s="4"/>
      <c r="AIN24" s="4"/>
      <c r="AIO24" s="4"/>
      <c r="AIP24" s="4"/>
      <c r="AIQ24" s="4"/>
      <c r="AIR24" s="4"/>
      <c r="AIS24" s="4"/>
      <c r="AIT24" s="4"/>
      <c r="AIU24" s="4"/>
      <c r="AIV24" s="4"/>
      <c r="AIW24" s="4"/>
      <c r="AIX24" s="4"/>
      <c r="AIY24" s="4"/>
      <c r="AIZ24" s="4"/>
      <c r="AJA24" s="4"/>
      <c r="AJB24" s="4"/>
      <c r="AJC24" s="4"/>
      <c r="AJD24" s="4"/>
      <c r="AJE24" s="4"/>
      <c r="AJF24" s="4"/>
      <c r="AJG24" s="4"/>
      <c r="AJH24" s="4"/>
      <c r="AJI24" s="4"/>
      <c r="AJJ24" s="4"/>
      <c r="AJK24" s="4"/>
      <c r="AJL24" s="4"/>
      <c r="AJM24" s="4"/>
      <c r="AJN24" s="4"/>
      <c r="AJO24" s="4"/>
      <c r="AJP24" s="4"/>
      <c r="AJQ24" s="4"/>
      <c r="AJR24" s="4"/>
      <c r="AJS24" s="4"/>
      <c r="AJT24" s="4"/>
      <c r="AJU24" s="4"/>
      <c r="AJV24" s="4"/>
      <c r="AJW24" s="4"/>
      <c r="AJX24" s="4"/>
      <c r="AJY24" s="4"/>
      <c r="AJZ24" s="4"/>
      <c r="AKA24" s="4"/>
      <c r="AKB24" s="4"/>
      <c r="AKC24" s="4"/>
      <c r="AKD24" s="4"/>
      <c r="AKE24" s="4"/>
      <c r="AKF24" s="4"/>
      <c r="AKG24" s="4"/>
      <c r="AKH24" s="4"/>
      <c r="AKI24" s="4"/>
      <c r="AKJ24" s="4"/>
      <c r="AKK24" s="4"/>
      <c r="AKL24" s="4"/>
      <c r="AKM24" s="4"/>
      <c r="AKN24" s="4"/>
      <c r="AKO24" s="4"/>
      <c r="AKP24" s="4"/>
      <c r="AKQ24" s="4"/>
      <c r="AKR24" s="4"/>
      <c r="AKS24" s="4"/>
      <c r="AKT24" s="4"/>
      <c r="AKU24" s="4"/>
      <c r="AKV24" s="4"/>
      <c r="AKW24" s="4"/>
      <c r="AKX24" s="4"/>
      <c r="AKY24" s="4"/>
      <c r="AKZ24" s="4"/>
      <c r="ALA24" s="4"/>
      <c r="ALB24" s="4"/>
      <c r="ALC24" s="4"/>
      <c r="ALD24" s="4"/>
      <c r="ALE24" s="4"/>
      <c r="ALF24" s="4"/>
      <c r="ALG24" s="4"/>
      <c r="ALH24" s="4"/>
      <c r="ALI24" s="4"/>
      <c r="ALJ24" s="4"/>
      <c r="ALK24" s="4"/>
      <c r="ALL24" s="4"/>
    </row>
    <row r="25">
      <c r="A25" s="41" t="s">
        <v>57</v>
      </c>
      <c r="B25" s="15">
        <v>228.0</v>
      </c>
      <c r="C25" s="15">
        <v>9.0</v>
      </c>
      <c r="D25" s="15">
        <v>0.0</v>
      </c>
      <c r="E25" s="15">
        <v>64.0</v>
      </c>
      <c r="F25" s="15">
        <v>3.0</v>
      </c>
      <c r="G25" s="15">
        <v>0.0</v>
      </c>
      <c r="H25" s="15">
        <v>1.0</v>
      </c>
      <c r="I25" s="15">
        <v>2.0</v>
      </c>
      <c r="J25" s="15">
        <v>0.0</v>
      </c>
      <c r="K25" s="15">
        <v>7.0</v>
      </c>
      <c r="L25" s="15">
        <v>1.0</v>
      </c>
      <c r="M25" s="15">
        <v>11.0</v>
      </c>
      <c r="N25" s="15">
        <v>32.0</v>
      </c>
      <c r="O25" s="15">
        <v>1.0</v>
      </c>
      <c r="P25" s="15">
        <v>2.0</v>
      </c>
      <c r="Q25" s="15">
        <v>4.0</v>
      </c>
      <c r="R25" s="15">
        <v>7.0</v>
      </c>
      <c r="S25" s="15">
        <v>73.0</v>
      </c>
      <c r="T25" s="15">
        <v>9.0</v>
      </c>
      <c r="U25" s="15">
        <v>1.0</v>
      </c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4"/>
      <c r="PD25" s="4"/>
      <c r="PE25" s="4"/>
      <c r="PF25" s="4"/>
      <c r="PG25" s="4"/>
      <c r="PH25" s="4"/>
      <c r="PI25" s="4"/>
      <c r="PJ25" s="4"/>
      <c r="PK25" s="4"/>
      <c r="PL25" s="4"/>
      <c r="PM25" s="4"/>
      <c r="PN25" s="4"/>
      <c r="PO25" s="4"/>
      <c r="PP25" s="4"/>
      <c r="PQ25" s="4"/>
      <c r="PR25" s="4"/>
      <c r="PS25" s="4"/>
      <c r="PT25" s="4"/>
      <c r="PU25" s="4"/>
      <c r="PV25" s="4"/>
      <c r="PW25" s="4"/>
      <c r="PX25" s="4"/>
      <c r="PY25" s="4"/>
      <c r="PZ25" s="4"/>
      <c r="QA25" s="4"/>
      <c r="QB25" s="4"/>
      <c r="QC25" s="4"/>
      <c r="QD25" s="4"/>
      <c r="QE25" s="4"/>
      <c r="QF25" s="4"/>
      <c r="QG25" s="4"/>
      <c r="QH25" s="4"/>
      <c r="QI25" s="4"/>
      <c r="QJ25" s="4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4"/>
      <c r="QY25" s="4"/>
      <c r="QZ25" s="4"/>
      <c r="RA25" s="4"/>
      <c r="RB25" s="4"/>
      <c r="RC25" s="4"/>
      <c r="RD25" s="4"/>
      <c r="RE25" s="4"/>
      <c r="RF25" s="4"/>
      <c r="RG25" s="4"/>
      <c r="RH25" s="4"/>
      <c r="RI25" s="4"/>
      <c r="RJ25" s="4"/>
      <c r="RK25" s="4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4"/>
      <c r="RX25" s="4"/>
      <c r="RY25" s="4"/>
      <c r="RZ25" s="4"/>
      <c r="SA25" s="4"/>
      <c r="SB25" s="4"/>
      <c r="SC25" s="4"/>
      <c r="SD25" s="4"/>
      <c r="SE25" s="4"/>
      <c r="SF25" s="4"/>
      <c r="SG25" s="4"/>
      <c r="SH25" s="4"/>
      <c r="SI25" s="4"/>
      <c r="SJ25" s="4"/>
      <c r="SK25" s="4"/>
      <c r="SL25" s="4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4"/>
      <c r="SY25" s="4"/>
      <c r="SZ25" s="4"/>
      <c r="TA25" s="4"/>
      <c r="TB25" s="4"/>
      <c r="TC25" s="4"/>
      <c r="TD25" s="4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4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4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4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  <c r="ABD25" s="4"/>
      <c r="ABE25" s="4"/>
      <c r="ABF25" s="4"/>
      <c r="ABG25" s="4"/>
      <c r="ABH25" s="4"/>
      <c r="ABI25" s="4"/>
      <c r="ABJ25" s="4"/>
      <c r="ABK25" s="4"/>
      <c r="ABL25" s="4"/>
      <c r="ABM25" s="4"/>
      <c r="ABN25" s="4"/>
      <c r="ABO25" s="4"/>
      <c r="ABP25" s="4"/>
      <c r="ABQ25" s="4"/>
      <c r="ABR25" s="4"/>
      <c r="ABS25" s="4"/>
      <c r="ABT25" s="4"/>
      <c r="ABU25" s="4"/>
      <c r="ABV25" s="4"/>
      <c r="ABW25" s="4"/>
      <c r="ABX25" s="4"/>
      <c r="ABY25" s="4"/>
      <c r="ABZ25" s="4"/>
      <c r="ACA25" s="4"/>
      <c r="ACB25" s="4"/>
      <c r="ACC25" s="4"/>
      <c r="ACD25" s="4"/>
      <c r="ACE25" s="4"/>
      <c r="ACF25" s="4"/>
      <c r="ACG25" s="4"/>
      <c r="ACH25" s="4"/>
      <c r="ACI25" s="4"/>
      <c r="ACJ25" s="4"/>
      <c r="ACK25" s="4"/>
      <c r="ACL25" s="4"/>
      <c r="ACM25" s="4"/>
      <c r="ACN25" s="4"/>
      <c r="ACO25" s="4"/>
      <c r="ACP25" s="4"/>
      <c r="ACQ25" s="4"/>
      <c r="ACR25" s="4"/>
      <c r="ACS25" s="4"/>
      <c r="ACT25" s="4"/>
      <c r="ACU25" s="4"/>
      <c r="ACV25" s="4"/>
      <c r="ACW25" s="4"/>
      <c r="ACX25" s="4"/>
      <c r="ACY25" s="4"/>
      <c r="ACZ25" s="4"/>
      <c r="ADA25" s="4"/>
      <c r="ADB25" s="4"/>
      <c r="ADC25" s="4"/>
      <c r="ADD25" s="4"/>
      <c r="ADE25" s="4"/>
      <c r="ADF25" s="4"/>
      <c r="ADG25" s="4"/>
      <c r="ADH25" s="4"/>
      <c r="ADI25" s="4"/>
      <c r="ADJ25" s="4"/>
      <c r="ADK25" s="4"/>
      <c r="ADL25" s="4"/>
      <c r="ADM25" s="4"/>
      <c r="ADN25" s="4"/>
      <c r="ADO25" s="4"/>
      <c r="ADP25" s="4"/>
      <c r="ADQ25" s="4"/>
      <c r="ADR25" s="4"/>
      <c r="ADS25" s="4"/>
      <c r="ADT25" s="4"/>
      <c r="ADU25" s="4"/>
      <c r="ADV25" s="4"/>
      <c r="ADW25" s="4"/>
      <c r="ADX25" s="4"/>
      <c r="ADY25" s="4"/>
      <c r="ADZ25" s="4"/>
      <c r="AEA25" s="4"/>
      <c r="AEB25" s="4"/>
      <c r="AEC25" s="4"/>
      <c r="AED25" s="4"/>
      <c r="AEE25" s="4"/>
      <c r="AEF25" s="4"/>
      <c r="AEG25" s="4"/>
      <c r="AEH25" s="4"/>
      <c r="AEI25" s="4"/>
      <c r="AEJ25" s="4"/>
      <c r="AEK25" s="4"/>
      <c r="AEL25" s="4"/>
      <c r="AEM25" s="4"/>
      <c r="AEN25" s="4"/>
      <c r="AEO25" s="4"/>
      <c r="AEP25" s="4"/>
      <c r="AEQ25" s="4"/>
      <c r="AER25" s="4"/>
      <c r="AES25" s="4"/>
      <c r="AET25" s="4"/>
      <c r="AEU25" s="4"/>
      <c r="AEV25" s="4"/>
      <c r="AEW25" s="4"/>
      <c r="AEX25" s="4"/>
      <c r="AEY25" s="4"/>
      <c r="AEZ25" s="4"/>
      <c r="AFA25" s="4"/>
      <c r="AFB25" s="4"/>
      <c r="AFC25" s="4"/>
      <c r="AFD25" s="4"/>
      <c r="AFE25" s="4"/>
      <c r="AFF25" s="4"/>
      <c r="AFG25" s="4"/>
      <c r="AFH25" s="4"/>
      <c r="AFI25" s="4"/>
      <c r="AFJ25" s="4"/>
      <c r="AFK25" s="4"/>
      <c r="AFL25" s="4"/>
      <c r="AFM25" s="4"/>
      <c r="AFN25" s="4"/>
      <c r="AFO25" s="4"/>
      <c r="AFP25" s="4"/>
      <c r="AFQ25" s="4"/>
      <c r="AFR25" s="4"/>
      <c r="AFS25" s="4"/>
      <c r="AFT25" s="4"/>
      <c r="AFU25" s="4"/>
      <c r="AFV25" s="4"/>
      <c r="AFW25" s="4"/>
      <c r="AFX25" s="4"/>
      <c r="AFY25" s="4"/>
      <c r="AFZ25" s="4"/>
      <c r="AGA25" s="4"/>
      <c r="AGB25" s="4"/>
      <c r="AGC25" s="4"/>
      <c r="AGD25" s="4"/>
      <c r="AGE25" s="4"/>
      <c r="AGF25" s="4"/>
      <c r="AGG25" s="4"/>
      <c r="AGH25" s="4"/>
      <c r="AGI25" s="4"/>
      <c r="AGJ25" s="4"/>
      <c r="AGK25" s="4"/>
      <c r="AGL25" s="4"/>
      <c r="AGM25" s="4"/>
      <c r="AGN25" s="4"/>
      <c r="AGO25" s="4"/>
      <c r="AGP25" s="4"/>
      <c r="AGQ25" s="4"/>
      <c r="AGR25" s="4"/>
      <c r="AGS25" s="4"/>
      <c r="AGT25" s="4"/>
      <c r="AGU25" s="4"/>
      <c r="AGV25" s="4"/>
      <c r="AGW25" s="4"/>
      <c r="AGX25" s="4"/>
      <c r="AGY25" s="4"/>
      <c r="AGZ25" s="4"/>
      <c r="AHA25" s="4"/>
      <c r="AHB25" s="4"/>
      <c r="AHC25" s="4"/>
      <c r="AHD25" s="4"/>
      <c r="AHE25" s="4"/>
      <c r="AHF25" s="4"/>
      <c r="AHG25" s="4"/>
      <c r="AHH25" s="4"/>
      <c r="AHI25" s="4"/>
      <c r="AHJ25" s="4"/>
      <c r="AHK25" s="4"/>
      <c r="AHL25" s="4"/>
      <c r="AHM25" s="4"/>
      <c r="AHN25" s="4"/>
      <c r="AHO25" s="4"/>
      <c r="AHP25" s="4"/>
      <c r="AHQ25" s="4"/>
      <c r="AHR25" s="4"/>
      <c r="AHS25" s="4"/>
      <c r="AHT25" s="4"/>
      <c r="AHU25" s="4"/>
      <c r="AHV25" s="4"/>
      <c r="AHW25" s="4"/>
      <c r="AHX25" s="4"/>
      <c r="AHY25" s="4"/>
      <c r="AHZ25" s="4"/>
      <c r="AIA25" s="4"/>
      <c r="AIB25" s="4"/>
      <c r="AIC25" s="4"/>
      <c r="AID25" s="4"/>
      <c r="AIE25" s="4"/>
      <c r="AIF25" s="4"/>
      <c r="AIG25" s="4"/>
      <c r="AIH25" s="4"/>
      <c r="AII25" s="4"/>
      <c r="AIJ25" s="4"/>
      <c r="AIK25" s="4"/>
      <c r="AIL25" s="4"/>
      <c r="AIM25" s="4"/>
      <c r="AIN25" s="4"/>
      <c r="AIO25" s="4"/>
      <c r="AIP25" s="4"/>
      <c r="AIQ25" s="4"/>
      <c r="AIR25" s="4"/>
      <c r="AIS25" s="4"/>
      <c r="AIT25" s="4"/>
      <c r="AIU25" s="4"/>
      <c r="AIV25" s="4"/>
      <c r="AIW25" s="4"/>
      <c r="AIX25" s="4"/>
      <c r="AIY25" s="4"/>
      <c r="AIZ25" s="4"/>
      <c r="AJA25" s="4"/>
      <c r="AJB25" s="4"/>
      <c r="AJC25" s="4"/>
      <c r="AJD25" s="4"/>
      <c r="AJE25" s="4"/>
      <c r="AJF25" s="4"/>
      <c r="AJG25" s="4"/>
      <c r="AJH25" s="4"/>
      <c r="AJI25" s="4"/>
      <c r="AJJ25" s="4"/>
      <c r="AJK25" s="4"/>
      <c r="AJL25" s="4"/>
      <c r="AJM25" s="4"/>
      <c r="AJN25" s="4"/>
      <c r="AJO25" s="4"/>
      <c r="AJP25" s="4"/>
      <c r="AJQ25" s="4"/>
      <c r="AJR25" s="4"/>
      <c r="AJS25" s="4"/>
      <c r="AJT25" s="4"/>
      <c r="AJU25" s="4"/>
      <c r="AJV25" s="4"/>
      <c r="AJW25" s="4"/>
      <c r="AJX25" s="4"/>
      <c r="AJY25" s="4"/>
      <c r="AJZ25" s="4"/>
      <c r="AKA25" s="4"/>
      <c r="AKB25" s="4"/>
      <c r="AKC25" s="4"/>
      <c r="AKD25" s="4"/>
      <c r="AKE25" s="4"/>
      <c r="AKF25" s="4"/>
      <c r="AKG25" s="4"/>
      <c r="AKH25" s="4"/>
      <c r="AKI25" s="4"/>
      <c r="AKJ25" s="4"/>
      <c r="AKK25" s="4"/>
      <c r="AKL25" s="4"/>
      <c r="AKM25" s="4"/>
      <c r="AKN25" s="4"/>
      <c r="AKO25" s="4"/>
      <c r="AKP25" s="4"/>
      <c r="AKQ25" s="4"/>
      <c r="AKR25" s="4"/>
      <c r="AKS25" s="4"/>
      <c r="AKT25" s="4"/>
      <c r="AKU25" s="4"/>
      <c r="AKV25" s="4"/>
      <c r="AKW25" s="4"/>
      <c r="AKX25" s="4"/>
      <c r="AKY25" s="4"/>
      <c r="AKZ25" s="4"/>
      <c r="ALA25" s="4"/>
      <c r="ALB25" s="4"/>
      <c r="ALC25" s="4"/>
      <c r="ALD25" s="4"/>
      <c r="ALE25" s="4"/>
      <c r="ALF25" s="4"/>
      <c r="ALG25" s="4"/>
      <c r="ALH25" s="4"/>
      <c r="ALI25" s="4"/>
      <c r="ALJ25" s="4"/>
      <c r="ALK25" s="4"/>
      <c r="ALL25" s="4"/>
    </row>
    <row r="26">
      <c r="A26" s="26" t="s">
        <v>62</v>
      </c>
      <c r="B26" s="6">
        <v>87.0</v>
      </c>
      <c r="C26" s="6">
        <v>5.0</v>
      </c>
      <c r="D26" s="6">
        <v>0.0</v>
      </c>
      <c r="E26" s="6">
        <v>27.0</v>
      </c>
      <c r="F26" s="6">
        <v>6.0</v>
      </c>
      <c r="G26" s="6">
        <v>0.0</v>
      </c>
      <c r="H26" s="6">
        <v>0.0</v>
      </c>
      <c r="I26" s="6">
        <v>3.0</v>
      </c>
      <c r="J26" s="6">
        <v>3.0</v>
      </c>
      <c r="K26" s="6">
        <v>1.0</v>
      </c>
      <c r="L26" s="6">
        <v>1.0</v>
      </c>
      <c r="M26" s="6">
        <v>2.0</v>
      </c>
      <c r="N26" s="6">
        <v>15.0</v>
      </c>
      <c r="O26" s="6">
        <v>0.0</v>
      </c>
      <c r="P26" s="6">
        <v>1.0</v>
      </c>
      <c r="Q26" s="6">
        <v>1.0</v>
      </c>
      <c r="R26" s="6">
        <v>8.0</v>
      </c>
      <c r="S26" s="6">
        <v>11.0</v>
      </c>
      <c r="T26" s="6">
        <v>3.0</v>
      </c>
      <c r="U26" s="6">
        <v>0.0</v>
      </c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4"/>
      <c r="PJ26" s="4"/>
      <c r="PK26" s="4"/>
      <c r="PL26" s="4"/>
      <c r="PM26" s="4"/>
      <c r="PN26" s="4"/>
      <c r="PO26" s="4"/>
      <c r="PP26" s="4"/>
      <c r="PQ26" s="4"/>
      <c r="PR26" s="4"/>
      <c r="PS26" s="4"/>
      <c r="PT26" s="4"/>
      <c r="PU26" s="4"/>
      <c r="PV26" s="4"/>
      <c r="PW26" s="4"/>
      <c r="PX26" s="4"/>
      <c r="PY26" s="4"/>
      <c r="PZ26" s="4"/>
      <c r="QA26" s="4"/>
      <c r="QB26" s="4"/>
      <c r="QC26" s="4"/>
      <c r="QD26" s="4"/>
      <c r="QE26" s="4"/>
      <c r="QF26" s="4"/>
      <c r="QG26" s="4"/>
      <c r="QH26" s="4"/>
      <c r="QI26" s="4"/>
      <c r="QJ26" s="4"/>
      <c r="QK26" s="4"/>
      <c r="QL26" s="4"/>
      <c r="QM26" s="4"/>
      <c r="QN26" s="4"/>
      <c r="QO26" s="4"/>
      <c r="QP26" s="4"/>
      <c r="QQ26" s="4"/>
      <c r="QR26" s="4"/>
      <c r="QS26" s="4"/>
      <c r="QT26" s="4"/>
      <c r="QU26" s="4"/>
      <c r="QV26" s="4"/>
      <c r="QW26" s="4"/>
      <c r="QX26" s="4"/>
      <c r="QY26" s="4"/>
      <c r="QZ26" s="4"/>
      <c r="RA26" s="4"/>
      <c r="RB26" s="4"/>
      <c r="RC26" s="4"/>
      <c r="RD26" s="4"/>
      <c r="RE26" s="4"/>
      <c r="RF26" s="4"/>
      <c r="RG26" s="4"/>
      <c r="RH26" s="4"/>
      <c r="RI26" s="4"/>
      <c r="RJ26" s="4"/>
      <c r="RK26" s="4"/>
      <c r="RL26" s="4"/>
      <c r="RM26" s="4"/>
      <c r="RN26" s="4"/>
      <c r="RO26" s="4"/>
      <c r="RP26" s="4"/>
      <c r="RQ26" s="4"/>
      <c r="RR26" s="4"/>
      <c r="RS26" s="4"/>
      <c r="RT26" s="4"/>
      <c r="RU26" s="4"/>
      <c r="RV26" s="4"/>
      <c r="RW26" s="4"/>
      <c r="RX26" s="4"/>
      <c r="RY26" s="4"/>
      <c r="RZ26" s="4"/>
      <c r="SA26" s="4"/>
      <c r="SB26" s="4"/>
      <c r="SC26" s="4"/>
      <c r="SD26" s="4"/>
      <c r="SE26" s="4"/>
      <c r="SF26" s="4"/>
      <c r="SG26" s="4"/>
      <c r="SH26" s="4"/>
      <c r="SI26" s="4"/>
      <c r="SJ26" s="4"/>
      <c r="SK26" s="4"/>
      <c r="SL26" s="4"/>
      <c r="SM26" s="4"/>
      <c r="SN26" s="4"/>
      <c r="SO26" s="4"/>
      <c r="SP26" s="4"/>
      <c r="SQ26" s="4"/>
      <c r="SR26" s="4"/>
      <c r="SS26" s="4"/>
      <c r="ST26" s="4"/>
      <c r="SU26" s="4"/>
      <c r="SV26" s="4"/>
      <c r="SW26" s="4"/>
      <c r="SX26" s="4"/>
      <c r="SY26" s="4"/>
      <c r="SZ26" s="4"/>
      <c r="TA26" s="4"/>
      <c r="TB26" s="4"/>
      <c r="TC26" s="4"/>
      <c r="TD26" s="4"/>
      <c r="TE26" s="4"/>
      <c r="TF26" s="4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  <c r="UG26" s="4"/>
      <c r="UH26" s="4"/>
      <c r="UI26" s="4"/>
      <c r="UJ26" s="4"/>
      <c r="UK26" s="4"/>
      <c r="UL26" s="4"/>
      <c r="UM26" s="4"/>
      <c r="UN26" s="4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4"/>
      <c r="VA26" s="4"/>
      <c r="VB26" s="4"/>
      <c r="VC26" s="4"/>
      <c r="VD26" s="4"/>
      <c r="VE26" s="4"/>
      <c r="VF26" s="4"/>
      <c r="VG26" s="4"/>
      <c r="VH26" s="4"/>
      <c r="VI26" s="4"/>
      <c r="VJ26" s="4"/>
      <c r="VK26" s="4"/>
      <c r="VL26" s="4"/>
      <c r="VM26" s="4"/>
      <c r="VN26" s="4"/>
      <c r="VO26" s="4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4"/>
      <c r="WB26" s="4"/>
      <c r="WC26" s="4"/>
      <c r="WD26" s="4"/>
      <c r="WE26" s="4"/>
      <c r="WF26" s="4"/>
      <c r="WG26" s="4"/>
      <c r="WH26" s="4"/>
      <c r="WI26" s="4"/>
      <c r="WJ26" s="4"/>
      <c r="WK26" s="4"/>
      <c r="WL26" s="4"/>
      <c r="WM26" s="4"/>
      <c r="WN26" s="4"/>
      <c r="WO26" s="4"/>
      <c r="WP26" s="4"/>
      <c r="WQ26" s="4"/>
      <c r="WR26" s="4"/>
      <c r="WS26" s="4"/>
      <c r="WT26" s="4"/>
      <c r="WU26" s="4"/>
      <c r="WV26" s="4"/>
      <c r="WW26" s="4"/>
      <c r="WX26" s="4"/>
      <c r="WY26" s="4"/>
      <c r="WZ26" s="4"/>
      <c r="XA26" s="4"/>
      <c r="XB26" s="4"/>
      <c r="XC26" s="4"/>
      <c r="XD26" s="4"/>
      <c r="XE26" s="4"/>
      <c r="XF26" s="4"/>
      <c r="XG26" s="4"/>
      <c r="XH26" s="4"/>
      <c r="XI26" s="4"/>
      <c r="XJ26" s="4"/>
      <c r="XK26" s="4"/>
      <c r="XL26" s="4"/>
      <c r="XM26" s="4"/>
      <c r="XN26" s="4"/>
      <c r="XO26" s="4"/>
      <c r="XP26" s="4"/>
      <c r="XQ26" s="4"/>
      <c r="XR26" s="4"/>
      <c r="XS26" s="4"/>
      <c r="XT26" s="4"/>
      <c r="XU26" s="4"/>
      <c r="XV26" s="4"/>
      <c r="XW26" s="4"/>
      <c r="XX26" s="4"/>
      <c r="XY26" s="4"/>
      <c r="XZ26" s="4"/>
      <c r="YA26" s="4"/>
      <c r="YB26" s="4"/>
      <c r="YC26" s="4"/>
      <c r="YD26" s="4"/>
      <c r="YE26" s="4"/>
      <c r="YF26" s="4"/>
      <c r="YG26" s="4"/>
      <c r="YH26" s="4"/>
      <c r="YI26" s="4"/>
      <c r="YJ26" s="4"/>
      <c r="YK26" s="4"/>
      <c r="YL26" s="4"/>
      <c r="YM26" s="4"/>
      <c r="YN26" s="4"/>
      <c r="YO26" s="4"/>
      <c r="YP26" s="4"/>
      <c r="YQ26" s="4"/>
      <c r="YR26" s="4"/>
      <c r="YS26" s="4"/>
      <c r="YT26" s="4"/>
      <c r="YU26" s="4"/>
      <c r="YV26" s="4"/>
      <c r="YW26" s="4"/>
      <c r="YX26" s="4"/>
      <c r="YY26" s="4"/>
      <c r="YZ26" s="4"/>
      <c r="ZA26" s="4"/>
      <c r="ZB26" s="4"/>
      <c r="ZC26" s="4"/>
      <c r="ZD26" s="4"/>
      <c r="ZE26" s="4"/>
      <c r="ZF26" s="4"/>
      <c r="ZG26" s="4"/>
      <c r="ZH26" s="4"/>
      <c r="ZI26" s="4"/>
      <c r="ZJ26" s="4"/>
      <c r="ZK26" s="4"/>
      <c r="ZL26" s="4"/>
      <c r="ZM26" s="4"/>
      <c r="ZN26" s="4"/>
      <c r="ZO26" s="4"/>
      <c r="ZP26" s="4"/>
      <c r="ZQ26" s="4"/>
      <c r="ZR26" s="4"/>
      <c r="ZS26" s="4"/>
      <c r="ZT26" s="4"/>
      <c r="ZU26" s="4"/>
      <c r="ZV26" s="4"/>
      <c r="ZW26" s="4"/>
      <c r="ZX26" s="4"/>
      <c r="ZY26" s="4"/>
      <c r="ZZ26" s="4"/>
      <c r="AAA26" s="4"/>
      <c r="AAB26" s="4"/>
      <c r="AAC26" s="4"/>
      <c r="AAD26" s="4"/>
      <c r="AAE26" s="4"/>
      <c r="AAF26" s="4"/>
      <c r="AAG26" s="4"/>
      <c r="AAH26" s="4"/>
      <c r="AAI26" s="4"/>
      <c r="AAJ26" s="4"/>
      <c r="AAK26" s="4"/>
      <c r="AAL26" s="4"/>
      <c r="AAM26" s="4"/>
      <c r="AAN26" s="4"/>
      <c r="AAO26" s="4"/>
      <c r="AAP26" s="4"/>
      <c r="AAQ26" s="4"/>
      <c r="AAR26" s="4"/>
      <c r="AAS26" s="4"/>
      <c r="AAT26" s="4"/>
      <c r="AAU26" s="4"/>
      <c r="AAV26" s="4"/>
      <c r="AAW26" s="4"/>
      <c r="AAX26" s="4"/>
      <c r="AAY26" s="4"/>
      <c r="AAZ26" s="4"/>
      <c r="ABA26" s="4"/>
      <c r="ABB26" s="4"/>
      <c r="ABC26" s="4"/>
      <c r="ABD26" s="4"/>
      <c r="ABE26" s="4"/>
      <c r="ABF26" s="4"/>
      <c r="ABG26" s="4"/>
      <c r="ABH26" s="4"/>
      <c r="ABI26" s="4"/>
      <c r="ABJ26" s="4"/>
      <c r="ABK26" s="4"/>
      <c r="ABL26" s="4"/>
      <c r="ABM26" s="4"/>
      <c r="ABN26" s="4"/>
      <c r="ABO26" s="4"/>
      <c r="ABP26" s="4"/>
      <c r="ABQ26" s="4"/>
      <c r="ABR26" s="4"/>
      <c r="ABS26" s="4"/>
      <c r="ABT26" s="4"/>
      <c r="ABU26" s="4"/>
      <c r="ABV26" s="4"/>
      <c r="ABW26" s="4"/>
      <c r="ABX26" s="4"/>
      <c r="ABY26" s="4"/>
      <c r="ABZ26" s="4"/>
      <c r="ACA26" s="4"/>
      <c r="ACB26" s="4"/>
      <c r="ACC26" s="4"/>
      <c r="ACD26" s="4"/>
      <c r="ACE26" s="4"/>
      <c r="ACF26" s="4"/>
      <c r="ACG26" s="4"/>
      <c r="ACH26" s="4"/>
      <c r="ACI26" s="4"/>
      <c r="ACJ26" s="4"/>
      <c r="ACK26" s="4"/>
      <c r="ACL26" s="4"/>
      <c r="ACM26" s="4"/>
      <c r="ACN26" s="4"/>
      <c r="ACO26" s="4"/>
      <c r="ACP26" s="4"/>
      <c r="ACQ26" s="4"/>
      <c r="ACR26" s="4"/>
      <c r="ACS26" s="4"/>
      <c r="ACT26" s="4"/>
      <c r="ACU26" s="4"/>
      <c r="ACV26" s="4"/>
      <c r="ACW26" s="4"/>
      <c r="ACX26" s="4"/>
      <c r="ACY26" s="4"/>
      <c r="ACZ26" s="4"/>
      <c r="ADA26" s="4"/>
      <c r="ADB26" s="4"/>
      <c r="ADC26" s="4"/>
      <c r="ADD26" s="4"/>
      <c r="ADE26" s="4"/>
      <c r="ADF26" s="4"/>
      <c r="ADG26" s="4"/>
      <c r="ADH26" s="4"/>
      <c r="ADI26" s="4"/>
      <c r="ADJ26" s="4"/>
      <c r="ADK26" s="4"/>
      <c r="ADL26" s="4"/>
      <c r="ADM26" s="4"/>
      <c r="ADN26" s="4"/>
      <c r="ADO26" s="4"/>
      <c r="ADP26" s="4"/>
      <c r="ADQ26" s="4"/>
      <c r="ADR26" s="4"/>
      <c r="ADS26" s="4"/>
      <c r="ADT26" s="4"/>
      <c r="ADU26" s="4"/>
      <c r="ADV26" s="4"/>
      <c r="ADW26" s="4"/>
      <c r="ADX26" s="4"/>
      <c r="ADY26" s="4"/>
      <c r="ADZ26" s="4"/>
      <c r="AEA26" s="4"/>
      <c r="AEB26" s="4"/>
      <c r="AEC26" s="4"/>
      <c r="AED26" s="4"/>
      <c r="AEE26" s="4"/>
      <c r="AEF26" s="4"/>
      <c r="AEG26" s="4"/>
      <c r="AEH26" s="4"/>
      <c r="AEI26" s="4"/>
      <c r="AEJ26" s="4"/>
      <c r="AEK26" s="4"/>
      <c r="AEL26" s="4"/>
      <c r="AEM26" s="4"/>
      <c r="AEN26" s="4"/>
      <c r="AEO26" s="4"/>
      <c r="AEP26" s="4"/>
      <c r="AEQ26" s="4"/>
      <c r="AER26" s="4"/>
      <c r="AES26" s="4"/>
      <c r="AET26" s="4"/>
      <c r="AEU26" s="4"/>
      <c r="AEV26" s="4"/>
      <c r="AEW26" s="4"/>
      <c r="AEX26" s="4"/>
      <c r="AEY26" s="4"/>
      <c r="AEZ26" s="4"/>
      <c r="AFA26" s="4"/>
      <c r="AFB26" s="4"/>
      <c r="AFC26" s="4"/>
      <c r="AFD26" s="4"/>
      <c r="AFE26" s="4"/>
      <c r="AFF26" s="4"/>
      <c r="AFG26" s="4"/>
      <c r="AFH26" s="4"/>
      <c r="AFI26" s="4"/>
      <c r="AFJ26" s="4"/>
      <c r="AFK26" s="4"/>
      <c r="AFL26" s="4"/>
      <c r="AFM26" s="4"/>
      <c r="AFN26" s="4"/>
      <c r="AFO26" s="4"/>
      <c r="AFP26" s="4"/>
      <c r="AFQ26" s="4"/>
      <c r="AFR26" s="4"/>
      <c r="AFS26" s="4"/>
      <c r="AFT26" s="4"/>
      <c r="AFU26" s="4"/>
      <c r="AFV26" s="4"/>
      <c r="AFW26" s="4"/>
      <c r="AFX26" s="4"/>
      <c r="AFY26" s="4"/>
      <c r="AFZ26" s="4"/>
      <c r="AGA26" s="4"/>
      <c r="AGB26" s="4"/>
      <c r="AGC26" s="4"/>
      <c r="AGD26" s="4"/>
      <c r="AGE26" s="4"/>
      <c r="AGF26" s="4"/>
      <c r="AGG26" s="4"/>
      <c r="AGH26" s="4"/>
      <c r="AGI26" s="4"/>
      <c r="AGJ26" s="4"/>
      <c r="AGK26" s="4"/>
      <c r="AGL26" s="4"/>
      <c r="AGM26" s="4"/>
      <c r="AGN26" s="4"/>
      <c r="AGO26" s="4"/>
      <c r="AGP26" s="4"/>
      <c r="AGQ26" s="4"/>
      <c r="AGR26" s="4"/>
      <c r="AGS26" s="4"/>
      <c r="AGT26" s="4"/>
      <c r="AGU26" s="4"/>
      <c r="AGV26" s="4"/>
      <c r="AGW26" s="4"/>
      <c r="AGX26" s="4"/>
      <c r="AGY26" s="4"/>
      <c r="AGZ26" s="4"/>
      <c r="AHA26" s="4"/>
      <c r="AHB26" s="4"/>
      <c r="AHC26" s="4"/>
      <c r="AHD26" s="4"/>
      <c r="AHE26" s="4"/>
      <c r="AHF26" s="4"/>
      <c r="AHG26" s="4"/>
      <c r="AHH26" s="4"/>
      <c r="AHI26" s="4"/>
      <c r="AHJ26" s="4"/>
      <c r="AHK26" s="4"/>
      <c r="AHL26" s="4"/>
      <c r="AHM26" s="4"/>
      <c r="AHN26" s="4"/>
      <c r="AHO26" s="4"/>
      <c r="AHP26" s="4"/>
      <c r="AHQ26" s="4"/>
      <c r="AHR26" s="4"/>
      <c r="AHS26" s="4"/>
      <c r="AHT26" s="4"/>
      <c r="AHU26" s="4"/>
      <c r="AHV26" s="4"/>
      <c r="AHW26" s="4"/>
      <c r="AHX26" s="4"/>
      <c r="AHY26" s="4"/>
      <c r="AHZ26" s="4"/>
      <c r="AIA26" s="4"/>
      <c r="AIB26" s="4"/>
      <c r="AIC26" s="4"/>
      <c r="AID26" s="4"/>
      <c r="AIE26" s="4"/>
      <c r="AIF26" s="4"/>
      <c r="AIG26" s="4"/>
      <c r="AIH26" s="4"/>
      <c r="AII26" s="4"/>
      <c r="AIJ26" s="4"/>
      <c r="AIK26" s="4"/>
      <c r="AIL26" s="4"/>
      <c r="AIM26" s="4"/>
      <c r="AIN26" s="4"/>
      <c r="AIO26" s="4"/>
      <c r="AIP26" s="4"/>
      <c r="AIQ26" s="4"/>
      <c r="AIR26" s="4"/>
      <c r="AIS26" s="4"/>
      <c r="AIT26" s="4"/>
      <c r="AIU26" s="4"/>
      <c r="AIV26" s="4"/>
      <c r="AIW26" s="4"/>
      <c r="AIX26" s="4"/>
      <c r="AIY26" s="4"/>
      <c r="AIZ26" s="4"/>
      <c r="AJA26" s="4"/>
      <c r="AJB26" s="4"/>
      <c r="AJC26" s="4"/>
      <c r="AJD26" s="4"/>
      <c r="AJE26" s="4"/>
      <c r="AJF26" s="4"/>
      <c r="AJG26" s="4"/>
      <c r="AJH26" s="4"/>
      <c r="AJI26" s="4"/>
      <c r="AJJ26" s="4"/>
      <c r="AJK26" s="4"/>
      <c r="AJL26" s="4"/>
      <c r="AJM26" s="4"/>
      <c r="AJN26" s="4"/>
      <c r="AJO26" s="4"/>
      <c r="AJP26" s="4"/>
      <c r="AJQ26" s="4"/>
      <c r="AJR26" s="4"/>
      <c r="AJS26" s="4"/>
      <c r="AJT26" s="4"/>
      <c r="AJU26" s="4"/>
      <c r="AJV26" s="4"/>
      <c r="AJW26" s="4"/>
      <c r="AJX26" s="4"/>
      <c r="AJY26" s="4"/>
      <c r="AJZ26" s="4"/>
      <c r="AKA26" s="4"/>
      <c r="AKB26" s="4"/>
      <c r="AKC26" s="4"/>
      <c r="AKD26" s="4"/>
      <c r="AKE26" s="4"/>
      <c r="AKF26" s="4"/>
      <c r="AKG26" s="4"/>
      <c r="AKH26" s="4"/>
      <c r="AKI26" s="4"/>
      <c r="AKJ26" s="4"/>
      <c r="AKK26" s="4"/>
      <c r="AKL26" s="4"/>
      <c r="AKM26" s="4"/>
      <c r="AKN26" s="4"/>
      <c r="AKO26" s="4"/>
      <c r="AKP26" s="4"/>
      <c r="AKQ26" s="4"/>
      <c r="AKR26" s="4"/>
      <c r="AKS26" s="4"/>
      <c r="AKT26" s="4"/>
      <c r="AKU26" s="4"/>
      <c r="AKV26" s="4"/>
      <c r="AKW26" s="4"/>
      <c r="AKX26" s="4"/>
      <c r="AKY26" s="4"/>
      <c r="AKZ26" s="4"/>
      <c r="ALA26" s="4"/>
      <c r="ALB26" s="4"/>
      <c r="ALC26" s="4"/>
      <c r="ALD26" s="4"/>
      <c r="ALE26" s="4"/>
      <c r="ALF26" s="4"/>
      <c r="ALG26" s="4"/>
      <c r="ALH26" s="4"/>
      <c r="ALI26" s="4"/>
      <c r="ALJ26" s="4"/>
      <c r="ALK26" s="4"/>
      <c r="ALL26" s="4"/>
    </row>
  </sheetData>
  <mergeCells count="1">
    <mergeCell ref="A1:U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>
      <c r="A2" s="9" t="s">
        <v>2</v>
      </c>
      <c r="B2" s="9" t="s">
        <v>13</v>
      </c>
      <c r="C2" s="9" t="s">
        <v>14</v>
      </c>
      <c r="D2" s="9" t="s">
        <v>15</v>
      </c>
      <c r="E2" s="9" t="s">
        <v>16</v>
      </c>
      <c r="F2" s="9" t="s">
        <v>17</v>
      </c>
      <c r="G2" s="9" t="s">
        <v>18</v>
      </c>
      <c r="H2" s="9" t="s">
        <v>20</v>
      </c>
      <c r="I2" s="9" t="s">
        <v>21</v>
      </c>
      <c r="J2" s="5" t="s">
        <v>22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>
      <c r="A3" s="4" t="s">
        <v>11</v>
      </c>
      <c r="B3" s="4" t="s">
        <v>24</v>
      </c>
      <c r="C3" s="10">
        <v>194.0</v>
      </c>
      <c r="D3" s="10">
        <v>161.0</v>
      </c>
      <c r="E3" s="10">
        <v>9.38</v>
      </c>
      <c r="F3" s="10">
        <v>9.86</v>
      </c>
      <c r="G3" s="10">
        <v>46.9</v>
      </c>
      <c r="H3" s="10">
        <v>49.3</v>
      </c>
      <c r="I3" s="10">
        <f t="shared" ref="I3:I26" si="1">H3-G3</f>
        <v>2.4</v>
      </c>
      <c r="J3" s="12">
        <v>5.1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4" t="s">
        <v>12</v>
      </c>
      <c r="B4" s="4" t="s">
        <v>31</v>
      </c>
      <c r="C4" s="10">
        <v>101.0</v>
      </c>
      <c r="D4" s="10">
        <v>90.0</v>
      </c>
      <c r="E4" s="10">
        <v>9.27</v>
      </c>
      <c r="F4" s="10">
        <v>11.17</v>
      </c>
      <c r="G4" s="10">
        <v>46.3</v>
      </c>
      <c r="H4" s="10">
        <v>55.8</v>
      </c>
      <c r="I4" s="10">
        <f t="shared" si="1"/>
        <v>9.5</v>
      </c>
      <c r="J4" s="12">
        <v>20.5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4" t="s">
        <v>19</v>
      </c>
      <c r="B5" s="4" t="s">
        <v>34</v>
      </c>
      <c r="C5" s="10">
        <v>97.0</v>
      </c>
      <c r="D5" s="10">
        <v>98.0</v>
      </c>
      <c r="E5" s="10">
        <v>8.76</v>
      </c>
      <c r="F5" s="10">
        <v>10.15</v>
      </c>
      <c r="G5" s="10">
        <v>43.8</v>
      </c>
      <c r="H5" s="10">
        <v>50.8</v>
      </c>
      <c r="I5" s="10">
        <f t="shared" si="1"/>
        <v>7</v>
      </c>
      <c r="J5" s="12">
        <v>16.0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4" t="s">
        <v>23</v>
      </c>
      <c r="B6" s="4" t="s">
        <v>36</v>
      </c>
      <c r="C6" s="10">
        <v>150.0</v>
      </c>
      <c r="D6" s="10">
        <v>260.0</v>
      </c>
      <c r="E6" s="10">
        <v>8.85</v>
      </c>
      <c r="F6" s="10">
        <v>10.61</v>
      </c>
      <c r="G6" s="10">
        <v>44.2</v>
      </c>
      <c r="H6" s="10">
        <v>53.0</v>
      </c>
      <c r="I6" s="10">
        <f t="shared" si="1"/>
        <v>8.8</v>
      </c>
      <c r="J6" s="13">
        <v>19.9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4" t="s">
        <v>25</v>
      </c>
      <c r="B7" s="4" t="s">
        <v>39</v>
      </c>
      <c r="C7" s="10">
        <v>112.0</v>
      </c>
      <c r="D7" s="10">
        <v>99.0</v>
      </c>
      <c r="E7" s="10">
        <v>8.92</v>
      </c>
      <c r="F7" s="10">
        <v>11.57</v>
      </c>
      <c r="G7" s="10">
        <v>44.6</v>
      </c>
      <c r="H7" s="10">
        <v>57.8</v>
      </c>
      <c r="I7" s="10">
        <f t="shared" si="1"/>
        <v>13.2</v>
      </c>
      <c r="J7" s="13">
        <v>29.6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4" t="s">
        <v>26</v>
      </c>
      <c r="B8" s="4" t="s">
        <v>41</v>
      </c>
      <c r="C8" s="10">
        <v>70.0</v>
      </c>
      <c r="D8" s="10">
        <v>72.0</v>
      </c>
      <c r="E8" s="10">
        <v>11.33</v>
      </c>
      <c r="F8" s="10">
        <v>13.04</v>
      </c>
      <c r="G8" s="10">
        <v>56.6</v>
      </c>
      <c r="H8" s="10">
        <v>65.2</v>
      </c>
      <c r="I8" s="10">
        <f t="shared" si="1"/>
        <v>8.6</v>
      </c>
      <c r="J8" s="12">
        <v>15.2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4" t="s">
        <v>28</v>
      </c>
      <c r="B9" s="4" t="s">
        <v>43</v>
      </c>
      <c r="C9" s="10">
        <v>152.0</v>
      </c>
      <c r="D9" s="10">
        <v>104.0</v>
      </c>
      <c r="E9" s="10">
        <v>9.36</v>
      </c>
      <c r="F9" s="10">
        <v>11.94</v>
      </c>
      <c r="G9" s="10">
        <v>46.8</v>
      </c>
      <c r="H9" s="10">
        <v>59.7</v>
      </c>
      <c r="I9" s="10">
        <f t="shared" si="1"/>
        <v>12.9</v>
      </c>
      <c r="J9" s="12">
        <v>27.6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4" t="s">
        <v>29</v>
      </c>
      <c r="B10" s="4" t="s">
        <v>45</v>
      </c>
      <c r="C10" s="10">
        <v>100.0</v>
      </c>
      <c r="D10" s="10">
        <v>83.0</v>
      </c>
      <c r="E10" s="10">
        <v>9.61</v>
      </c>
      <c r="F10" s="10">
        <v>10.46</v>
      </c>
      <c r="G10" s="10">
        <v>48.0</v>
      </c>
      <c r="H10" s="10">
        <v>52.3</v>
      </c>
      <c r="I10" s="10">
        <f t="shared" si="1"/>
        <v>4.3</v>
      </c>
      <c r="J10" s="13">
        <v>9.0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4" t="s">
        <v>30</v>
      </c>
      <c r="B11" s="4" t="s">
        <v>47</v>
      </c>
      <c r="C11" s="10">
        <v>116.0</v>
      </c>
      <c r="D11" s="10">
        <v>121.0</v>
      </c>
      <c r="E11" s="10">
        <v>11.59</v>
      </c>
      <c r="F11" s="10">
        <v>13.27</v>
      </c>
      <c r="G11" s="10">
        <v>58.0</v>
      </c>
      <c r="H11" s="10">
        <v>66.4</v>
      </c>
      <c r="I11" s="10">
        <f t="shared" si="1"/>
        <v>8.4</v>
      </c>
      <c r="J11" s="13">
        <v>14.5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4" t="s">
        <v>32</v>
      </c>
      <c r="B12" s="4" t="s">
        <v>50</v>
      </c>
      <c r="C12" s="10">
        <v>175.0</v>
      </c>
      <c r="D12" s="10">
        <v>204.0</v>
      </c>
      <c r="E12" s="10">
        <v>10.13</v>
      </c>
      <c r="F12" s="10">
        <v>10.46</v>
      </c>
      <c r="G12" s="10">
        <v>50.7</v>
      </c>
      <c r="H12" s="10">
        <v>52.3</v>
      </c>
      <c r="I12" s="10">
        <f t="shared" si="1"/>
        <v>1.6</v>
      </c>
      <c r="J12" s="12">
        <v>3.2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4" t="s">
        <v>33</v>
      </c>
      <c r="B13" s="4" t="s">
        <v>53</v>
      </c>
      <c r="C13" s="10">
        <v>38.0</v>
      </c>
      <c r="D13" s="10">
        <v>24.0</v>
      </c>
      <c r="E13" s="10">
        <v>10.92</v>
      </c>
      <c r="F13" s="10">
        <v>11.96</v>
      </c>
      <c r="G13" s="10">
        <v>54.6</v>
      </c>
      <c r="H13" s="10">
        <v>59.8</v>
      </c>
      <c r="I13" s="10">
        <f t="shared" si="1"/>
        <v>5.2</v>
      </c>
      <c r="J13" s="12">
        <v>9.5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4" t="s">
        <v>35</v>
      </c>
      <c r="B14" s="4" t="s">
        <v>56</v>
      </c>
      <c r="C14" s="10">
        <v>159.0</v>
      </c>
      <c r="D14" s="10">
        <v>130.0</v>
      </c>
      <c r="E14" s="10">
        <v>10.91</v>
      </c>
      <c r="F14" s="10">
        <v>12.08</v>
      </c>
      <c r="G14" s="10">
        <v>54.6</v>
      </c>
      <c r="H14" s="10">
        <v>60.4</v>
      </c>
      <c r="I14" s="10">
        <f t="shared" si="1"/>
        <v>5.8</v>
      </c>
      <c r="J14" s="13">
        <v>10.6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4" t="s">
        <v>37</v>
      </c>
      <c r="B15" s="4" t="s">
        <v>58</v>
      </c>
      <c r="C15" s="10">
        <v>128.0</v>
      </c>
      <c r="D15" s="10">
        <v>206.0</v>
      </c>
      <c r="E15" s="10">
        <v>10.0</v>
      </c>
      <c r="F15" s="10">
        <v>10.83</v>
      </c>
      <c r="G15" s="10">
        <v>50.0</v>
      </c>
      <c r="H15" s="10">
        <v>54.2</v>
      </c>
      <c r="I15" s="10">
        <f t="shared" si="1"/>
        <v>4.2</v>
      </c>
      <c r="J15" s="12">
        <v>8.4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4" t="s">
        <v>38</v>
      </c>
      <c r="B16" s="4" t="s">
        <v>64</v>
      </c>
      <c r="C16" s="10">
        <v>132.0</v>
      </c>
      <c r="D16" s="10">
        <v>123.0</v>
      </c>
      <c r="E16" s="10">
        <v>10.8</v>
      </c>
      <c r="F16" s="10">
        <v>11.85</v>
      </c>
      <c r="G16" s="10">
        <v>54.0</v>
      </c>
      <c r="H16" s="10">
        <v>59.2</v>
      </c>
      <c r="I16" s="10">
        <f t="shared" si="1"/>
        <v>5.2</v>
      </c>
      <c r="J16" s="13">
        <v>9.6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4" t="s">
        <v>40</v>
      </c>
      <c r="B17" s="4" t="s">
        <v>66</v>
      </c>
      <c r="C17" s="10">
        <v>167.0</v>
      </c>
      <c r="D17" s="10">
        <v>137.0</v>
      </c>
      <c r="E17" s="10">
        <v>10.84</v>
      </c>
      <c r="F17" s="10">
        <v>11.01</v>
      </c>
      <c r="G17" s="10">
        <v>54.2</v>
      </c>
      <c r="H17" s="10">
        <v>55.1</v>
      </c>
      <c r="I17" s="10">
        <f t="shared" si="1"/>
        <v>0.9</v>
      </c>
      <c r="J17" s="13">
        <v>1.7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4" t="s">
        <v>42</v>
      </c>
      <c r="B18" s="4" t="s">
        <v>68</v>
      </c>
      <c r="C18" s="10">
        <v>48.0</v>
      </c>
      <c r="D18" s="10">
        <v>39.0</v>
      </c>
      <c r="E18" s="10">
        <v>11.73</v>
      </c>
      <c r="F18" s="10">
        <v>12.18</v>
      </c>
      <c r="G18" s="10">
        <v>58.6</v>
      </c>
      <c r="H18" s="10">
        <v>60.9</v>
      </c>
      <c r="I18" s="10">
        <f t="shared" si="1"/>
        <v>2.3</v>
      </c>
      <c r="J18" s="13">
        <v>3.9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4" t="s">
        <v>44</v>
      </c>
      <c r="B19" s="4" t="s">
        <v>70</v>
      </c>
      <c r="C19" s="10">
        <v>15.0</v>
      </c>
      <c r="D19" s="10">
        <v>30.0</v>
      </c>
      <c r="E19" s="10">
        <v>11.73</v>
      </c>
      <c r="F19" s="10">
        <v>11.03</v>
      </c>
      <c r="G19" s="10">
        <v>58.7</v>
      </c>
      <c r="H19" s="10">
        <v>55.2</v>
      </c>
      <c r="I19" s="10">
        <f t="shared" si="1"/>
        <v>-3.5</v>
      </c>
      <c r="J19" s="23">
        <v>-6.0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4" t="s">
        <v>46</v>
      </c>
      <c r="B20" s="4" t="s">
        <v>78</v>
      </c>
      <c r="C20" s="10">
        <v>35.0</v>
      </c>
      <c r="D20" s="10">
        <v>11.0</v>
      </c>
      <c r="E20" s="10">
        <v>12.77</v>
      </c>
      <c r="F20" s="10">
        <v>12.55</v>
      </c>
      <c r="G20" s="10">
        <v>63.9</v>
      </c>
      <c r="H20" s="10">
        <v>62.7</v>
      </c>
      <c r="I20" s="10">
        <f t="shared" si="1"/>
        <v>-1.2</v>
      </c>
      <c r="J20" s="24">
        <v>-1.9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4" t="s">
        <v>48</v>
      </c>
      <c r="B21" s="4" t="s">
        <v>80</v>
      </c>
      <c r="C21" s="10">
        <v>55.0</v>
      </c>
      <c r="D21" s="10">
        <v>80.0</v>
      </c>
      <c r="E21" s="10">
        <v>8.75</v>
      </c>
      <c r="F21" s="10">
        <v>11.94</v>
      </c>
      <c r="G21" s="10">
        <v>43.7</v>
      </c>
      <c r="H21" s="10">
        <v>59.7</v>
      </c>
      <c r="I21" s="10">
        <f t="shared" si="1"/>
        <v>16</v>
      </c>
      <c r="J21" s="12">
        <v>36.6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4" t="s">
        <v>51</v>
      </c>
      <c r="B22" s="4" t="s">
        <v>82</v>
      </c>
      <c r="C22" s="10">
        <v>52.0</v>
      </c>
      <c r="D22" s="10">
        <v>43.0</v>
      </c>
      <c r="E22" s="10">
        <v>10.15</v>
      </c>
      <c r="F22" s="10">
        <v>12.37</v>
      </c>
      <c r="G22" s="10">
        <v>50.8</v>
      </c>
      <c r="H22" s="10">
        <v>61.9</v>
      </c>
      <c r="I22" s="10">
        <f t="shared" si="1"/>
        <v>11.1</v>
      </c>
      <c r="J22" s="12">
        <v>21.9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4" t="s">
        <v>52</v>
      </c>
      <c r="B23" s="4" t="s">
        <v>83</v>
      </c>
      <c r="C23" s="10">
        <v>75.0</v>
      </c>
      <c r="D23" s="10">
        <v>53.0</v>
      </c>
      <c r="E23" s="10">
        <v>11.47</v>
      </c>
      <c r="F23" s="10">
        <v>12.45</v>
      </c>
      <c r="G23" s="10">
        <v>57.3</v>
      </c>
      <c r="H23" s="10">
        <v>62.3</v>
      </c>
      <c r="I23" s="10">
        <f t="shared" si="1"/>
        <v>5</v>
      </c>
      <c r="J23" s="12">
        <v>8.7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4" t="s">
        <v>54</v>
      </c>
      <c r="B24" s="4" t="s">
        <v>85</v>
      </c>
      <c r="C24" s="10">
        <v>95.0</v>
      </c>
      <c r="D24" s="10">
        <v>78.0</v>
      </c>
      <c r="E24" s="10">
        <v>10.24</v>
      </c>
      <c r="F24" s="10">
        <v>12.62</v>
      </c>
      <c r="G24" s="10">
        <v>51.2</v>
      </c>
      <c r="H24" s="10">
        <v>63.1</v>
      </c>
      <c r="I24" s="10">
        <f t="shared" si="1"/>
        <v>11.9</v>
      </c>
      <c r="J24" s="13">
        <v>23.2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4" t="s">
        <v>57</v>
      </c>
      <c r="B25" s="4" t="s">
        <v>87</v>
      </c>
      <c r="C25" s="10">
        <v>228.0</v>
      </c>
      <c r="D25" s="10">
        <v>166.0</v>
      </c>
      <c r="E25" s="10">
        <v>12.05</v>
      </c>
      <c r="F25" s="10">
        <v>12.75</v>
      </c>
      <c r="G25" s="10">
        <v>60.3</v>
      </c>
      <c r="H25" s="10">
        <v>63.7</v>
      </c>
      <c r="I25" s="10">
        <f t="shared" si="1"/>
        <v>3.4</v>
      </c>
      <c r="J25" s="13">
        <v>5.6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4" t="s">
        <v>62</v>
      </c>
      <c r="B26" s="4" t="s">
        <v>90</v>
      </c>
      <c r="C26" s="10">
        <v>87.0</v>
      </c>
      <c r="D26" s="10">
        <v>74.0</v>
      </c>
      <c r="E26" s="10">
        <v>10.98</v>
      </c>
      <c r="F26" s="10">
        <v>13.11</v>
      </c>
      <c r="G26" s="10">
        <v>54.9</v>
      </c>
      <c r="H26" s="10">
        <v>65.5</v>
      </c>
      <c r="I26" s="10">
        <f t="shared" si="1"/>
        <v>10.6</v>
      </c>
      <c r="J26" s="13">
        <v>19.3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</sheetData>
  <mergeCells count="1">
    <mergeCell ref="A1:J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119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</row>
    <row r="2">
      <c r="A2" s="28" t="s">
        <v>72</v>
      </c>
      <c r="B2" s="28" t="s">
        <v>120</v>
      </c>
      <c r="C2" s="28" t="s">
        <v>121</v>
      </c>
      <c r="D2" s="28" t="s">
        <v>122</v>
      </c>
      <c r="E2" s="28" t="s">
        <v>123</v>
      </c>
      <c r="F2" s="28" t="s">
        <v>124</v>
      </c>
      <c r="G2" s="28" t="s">
        <v>125</v>
      </c>
      <c r="H2" s="28" t="s">
        <v>126</v>
      </c>
      <c r="I2" s="28" t="s">
        <v>127</v>
      </c>
      <c r="J2" s="28" t="s">
        <v>128</v>
      </c>
      <c r="K2" s="28" t="s">
        <v>129</v>
      </c>
      <c r="L2" s="28" t="s">
        <v>130</v>
      </c>
      <c r="M2" s="28" t="s">
        <v>131</v>
      </c>
      <c r="N2" s="28" t="s">
        <v>132</v>
      </c>
      <c r="O2" s="28" t="s">
        <v>133</v>
      </c>
      <c r="P2" s="28" t="s">
        <v>134</v>
      </c>
      <c r="Q2" s="28" t="s">
        <v>135</v>
      </c>
      <c r="R2" s="28" t="s">
        <v>136</v>
      </c>
      <c r="S2" s="28" t="s">
        <v>137</v>
      </c>
      <c r="T2" s="4"/>
      <c r="U2" s="4"/>
      <c r="V2" s="4"/>
      <c r="W2" s="4"/>
      <c r="X2" s="4"/>
      <c r="Y2" s="4"/>
      <c r="Z2" s="4"/>
    </row>
    <row r="3">
      <c r="A3" s="29" t="s">
        <v>11</v>
      </c>
      <c r="B3" s="30">
        <v>4.3</v>
      </c>
      <c r="C3" s="30">
        <v>4.37</v>
      </c>
      <c r="D3" s="31">
        <f t="shared" ref="D3:D26" si="1">(C3-B3)/B3</f>
        <v>0.01627906977</v>
      </c>
      <c r="E3" s="30">
        <v>4.4</v>
      </c>
      <c r="F3" s="30">
        <v>4.37</v>
      </c>
      <c r="G3" s="31">
        <f t="shared" ref="G3:G26" si="2">(F3-E3)/E3</f>
        <v>-0.006818181818</v>
      </c>
      <c r="H3" s="30">
        <v>4.33</v>
      </c>
      <c r="I3" s="30">
        <v>4.43</v>
      </c>
      <c r="J3" s="31">
        <f t="shared" ref="J3:J26" si="3">(I3-H3)/H3</f>
        <v>0.02309468822</v>
      </c>
      <c r="K3" s="30">
        <v>4.28</v>
      </c>
      <c r="L3" s="30">
        <v>4.35</v>
      </c>
      <c r="M3" s="31">
        <f t="shared" ref="M3:M26" si="4">(L3-K3)/K3</f>
        <v>0.01635514019</v>
      </c>
      <c r="N3" s="30">
        <v>4.26</v>
      </c>
      <c r="O3" s="30">
        <v>4.36</v>
      </c>
      <c r="P3" s="31">
        <f t="shared" ref="P3:P26" si="5">(O3-N3)/N3</f>
        <v>0.0234741784</v>
      </c>
      <c r="Q3" s="30">
        <v>4.28</v>
      </c>
      <c r="R3" s="30">
        <v>4.35</v>
      </c>
      <c r="S3" s="31">
        <f t="shared" ref="S3:S26" si="6">(R3-Q3)/Q3</f>
        <v>0.01635514019</v>
      </c>
      <c r="T3" s="4"/>
      <c r="U3" s="4"/>
      <c r="V3" s="4"/>
      <c r="W3" s="4"/>
      <c r="X3" s="4"/>
      <c r="Y3" s="4"/>
      <c r="Z3" s="4"/>
    </row>
    <row r="4">
      <c r="A4" s="32" t="s">
        <v>12</v>
      </c>
      <c r="B4" s="33">
        <v>4.28</v>
      </c>
      <c r="C4" s="33">
        <v>4.32</v>
      </c>
      <c r="D4" s="31">
        <f t="shared" si="1"/>
        <v>0.009345794393</v>
      </c>
      <c r="E4" s="33">
        <v>4.28</v>
      </c>
      <c r="F4" s="33">
        <v>4.39</v>
      </c>
      <c r="G4" s="31">
        <f t="shared" si="2"/>
        <v>0.02570093458</v>
      </c>
      <c r="H4" s="33">
        <v>4.24</v>
      </c>
      <c r="I4" s="33">
        <v>4.37</v>
      </c>
      <c r="J4" s="31">
        <f t="shared" si="3"/>
        <v>0.03066037736</v>
      </c>
      <c r="K4" s="33">
        <v>4.22</v>
      </c>
      <c r="L4" s="33">
        <v>4.39</v>
      </c>
      <c r="M4" s="31">
        <f t="shared" si="4"/>
        <v>0.04028436019</v>
      </c>
      <c r="N4" s="33">
        <v>4.21</v>
      </c>
      <c r="O4" s="33">
        <v>4.39</v>
      </c>
      <c r="P4" s="31">
        <f t="shared" si="5"/>
        <v>0.04275534442</v>
      </c>
      <c r="Q4" s="33">
        <v>4.2</v>
      </c>
      <c r="R4" s="33">
        <v>4.32</v>
      </c>
      <c r="S4" s="31">
        <f t="shared" si="6"/>
        <v>0.02857142857</v>
      </c>
      <c r="T4" s="4"/>
      <c r="U4" s="4"/>
      <c r="V4" s="4"/>
      <c r="W4" s="4"/>
      <c r="X4" s="4"/>
      <c r="Y4" s="4"/>
      <c r="Z4" s="4"/>
    </row>
    <row r="5">
      <c r="A5" s="29" t="s">
        <v>19</v>
      </c>
      <c r="B5" s="30">
        <v>4.22</v>
      </c>
      <c r="C5" s="30">
        <v>4.21</v>
      </c>
      <c r="D5" s="31">
        <f t="shared" si="1"/>
        <v>-0.002369668246</v>
      </c>
      <c r="E5" s="30">
        <v>4.28</v>
      </c>
      <c r="F5" s="30">
        <v>4.26</v>
      </c>
      <c r="G5" s="31">
        <f t="shared" si="2"/>
        <v>-0.004672897196</v>
      </c>
      <c r="H5" s="30">
        <v>4.25</v>
      </c>
      <c r="I5" s="30">
        <v>4.3</v>
      </c>
      <c r="J5" s="31">
        <f t="shared" si="3"/>
        <v>0.01176470588</v>
      </c>
      <c r="K5" s="30">
        <v>4.25</v>
      </c>
      <c r="L5" s="30">
        <v>4.31</v>
      </c>
      <c r="M5" s="31">
        <f t="shared" si="4"/>
        <v>0.01411764706</v>
      </c>
      <c r="N5" s="30">
        <v>4.3</v>
      </c>
      <c r="O5" s="30">
        <v>4.33</v>
      </c>
      <c r="P5" s="31">
        <f t="shared" si="5"/>
        <v>0.006976744186</v>
      </c>
      <c r="Q5" s="30">
        <v>4.21</v>
      </c>
      <c r="R5" s="30">
        <v>4.26</v>
      </c>
      <c r="S5" s="31">
        <f t="shared" si="6"/>
        <v>0.01187648456</v>
      </c>
      <c r="T5" s="4"/>
      <c r="U5" s="4"/>
      <c r="V5" s="4"/>
      <c r="W5" s="4"/>
      <c r="X5" s="4"/>
      <c r="Y5" s="4"/>
      <c r="Z5" s="4"/>
    </row>
    <row r="6">
      <c r="A6" s="32" t="s">
        <v>23</v>
      </c>
      <c r="B6" s="33">
        <v>3.26</v>
      </c>
      <c r="C6" s="33">
        <v>3.94</v>
      </c>
      <c r="D6" s="31">
        <f t="shared" si="1"/>
        <v>0.2085889571</v>
      </c>
      <c r="E6" s="33">
        <v>3.56</v>
      </c>
      <c r="F6" s="33">
        <v>4.1</v>
      </c>
      <c r="G6" s="31">
        <f t="shared" si="2"/>
        <v>0.1516853933</v>
      </c>
      <c r="H6" s="33">
        <v>3.47</v>
      </c>
      <c r="I6" s="33">
        <v>4.18</v>
      </c>
      <c r="J6" s="31">
        <f t="shared" si="3"/>
        <v>0.204610951</v>
      </c>
      <c r="K6" s="33">
        <v>3.25</v>
      </c>
      <c r="L6" s="33">
        <v>4.11</v>
      </c>
      <c r="M6" s="31">
        <f t="shared" si="4"/>
        <v>0.2646153846</v>
      </c>
      <c r="N6" s="33">
        <v>3.25</v>
      </c>
      <c r="O6" s="33">
        <v>4.17</v>
      </c>
      <c r="P6" s="31">
        <f t="shared" si="5"/>
        <v>0.2830769231</v>
      </c>
      <c r="Q6" s="33">
        <v>3.34</v>
      </c>
      <c r="R6" s="33">
        <v>4.12</v>
      </c>
      <c r="S6" s="31">
        <f t="shared" si="6"/>
        <v>0.2335329341</v>
      </c>
      <c r="T6" s="4"/>
      <c r="U6" s="4"/>
      <c r="V6" s="4"/>
      <c r="W6" s="4"/>
      <c r="X6" s="4"/>
      <c r="Y6" s="4"/>
      <c r="Z6" s="4"/>
    </row>
    <row r="7">
      <c r="A7" s="29" t="s">
        <v>25</v>
      </c>
      <c r="B7" s="30">
        <v>4.29</v>
      </c>
      <c r="C7" s="30">
        <v>4.43</v>
      </c>
      <c r="D7" s="31">
        <f t="shared" si="1"/>
        <v>0.03263403263</v>
      </c>
      <c r="E7" s="30">
        <v>4.36</v>
      </c>
      <c r="F7" s="30">
        <v>4.41</v>
      </c>
      <c r="G7" s="31">
        <f t="shared" si="2"/>
        <v>0.01146788991</v>
      </c>
      <c r="H7" s="30">
        <v>4.29</v>
      </c>
      <c r="I7" s="30">
        <v>4.42</v>
      </c>
      <c r="J7" s="31">
        <f t="shared" si="3"/>
        <v>0.0303030303</v>
      </c>
      <c r="K7" s="30">
        <v>4.22</v>
      </c>
      <c r="L7" s="30">
        <v>4.38</v>
      </c>
      <c r="M7" s="31">
        <f t="shared" si="4"/>
        <v>0.03791469194</v>
      </c>
      <c r="N7" s="30">
        <v>4.27</v>
      </c>
      <c r="O7" s="30">
        <v>4.39</v>
      </c>
      <c r="P7" s="31">
        <f t="shared" si="5"/>
        <v>0.0281030445</v>
      </c>
      <c r="Q7" s="30">
        <v>4.26</v>
      </c>
      <c r="R7" s="30">
        <v>4.41</v>
      </c>
      <c r="S7" s="31">
        <f t="shared" si="6"/>
        <v>0.03521126761</v>
      </c>
      <c r="T7" s="4"/>
      <c r="U7" s="4"/>
      <c r="V7" s="4"/>
      <c r="W7" s="4"/>
      <c r="X7" s="4"/>
      <c r="Y7" s="4"/>
      <c r="Z7" s="4"/>
    </row>
    <row r="8">
      <c r="A8" s="32" t="s">
        <v>26</v>
      </c>
      <c r="B8" s="33">
        <v>4.24</v>
      </c>
      <c r="C8" s="33">
        <v>4.47</v>
      </c>
      <c r="D8" s="31">
        <f t="shared" si="1"/>
        <v>0.05424528302</v>
      </c>
      <c r="E8" s="33">
        <v>4.33</v>
      </c>
      <c r="F8" s="33">
        <v>4.46</v>
      </c>
      <c r="G8" s="31">
        <f t="shared" si="2"/>
        <v>0.03002309469</v>
      </c>
      <c r="H8" s="33">
        <v>4.37</v>
      </c>
      <c r="I8" s="33">
        <v>4.49</v>
      </c>
      <c r="J8" s="31">
        <f t="shared" si="3"/>
        <v>0.02745995423</v>
      </c>
      <c r="K8" s="33">
        <v>4.31</v>
      </c>
      <c r="L8" s="33">
        <v>4.43</v>
      </c>
      <c r="M8" s="31">
        <f t="shared" si="4"/>
        <v>0.02784222738</v>
      </c>
      <c r="N8" s="33">
        <v>4.33</v>
      </c>
      <c r="O8" s="33">
        <v>4.44</v>
      </c>
      <c r="P8" s="31">
        <f t="shared" si="5"/>
        <v>0.02540415704</v>
      </c>
      <c r="Q8" s="33">
        <v>4.29</v>
      </c>
      <c r="R8" s="33">
        <v>4.42</v>
      </c>
      <c r="S8" s="31">
        <f t="shared" si="6"/>
        <v>0.0303030303</v>
      </c>
      <c r="T8" s="4"/>
      <c r="U8" s="4"/>
      <c r="V8" s="4"/>
      <c r="W8" s="4"/>
      <c r="X8" s="4"/>
      <c r="Y8" s="4"/>
      <c r="Z8" s="4"/>
    </row>
    <row r="9">
      <c r="A9" s="29" t="s">
        <v>28</v>
      </c>
      <c r="B9" s="30">
        <v>4.16</v>
      </c>
      <c r="C9" s="30">
        <v>4.33</v>
      </c>
      <c r="D9" s="31">
        <f t="shared" si="1"/>
        <v>0.04086538462</v>
      </c>
      <c r="E9" s="30">
        <v>4.27</v>
      </c>
      <c r="F9" s="30">
        <v>4.32</v>
      </c>
      <c r="G9" s="31">
        <f t="shared" si="2"/>
        <v>0.01170960187</v>
      </c>
      <c r="H9" s="30">
        <v>4.3</v>
      </c>
      <c r="I9" s="30">
        <v>4.31</v>
      </c>
      <c r="J9" s="31">
        <f t="shared" si="3"/>
        <v>0.002325581395</v>
      </c>
      <c r="K9" s="30">
        <v>4.25</v>
      </c>
      <c r="L9" s="30">
        <v>4.37</v>
      </c>
      <c r="M9" s="31">
        <f t="shared" si="4"/>
        <v>0.02823529412</v>
      </c>
      <c r="N9" s="30">
        <v>4.32</v>
      </c>
      <c r="O9" s="30">
        <v>4.39</v>
      </c>
      <c r="P9" s="31">
        <f t="shared" si="5"/>
        <v>0.0162037037</v>
      </c>
      <c r="Q9" s="30">
        <v>4.21</v>
      </c>
      <c r="R9" s="30">
        <v>4.31</v>
      </c>
      <c r="S9" s="31">
        <f t="shared" si="6"/>
        <v>0.02375296912</v>
      </c>
      <c r="T9" s="4"/>
      <c r="U9" s="4"/>
      <c r="V9" s="4"/>
      <c r="W9" s="4"/>
      <c r="X9" s="4"/>
      <c r="Y9" s="4"/>
      <c r="Z9" s="4"/>
    </row>
    <row r="10">
      <c r="A10" s="32" t="s">
        <v>29</v>
      </c>
      <c r="B10" s="33">
        <v>4.26</v>
      </c>
      <c r="C10" s="33">
        <v>4.29</v>
      </c>
      <c r="D10" s="31">
        <f t="shared" si="1"/>
        <v>0.007042253521</v>
      </c>
      <c r="E10" s="33">
        <v>4.31</v>
      </c>
      <c r="F10" s="33">
        <v>4.43</v>
      </c>
      <c r="G10" s="31">
        <f t="shared" si="2"/>
        <v>0.02784222738</v>
      </c>
      <c r="H10" s="33">
        <v>4.27</v>
      </c>
      <c r="I10" s="33">
        <v>4.36</v>
      </c>
      <c r="J10" s="31">
        <f t="shared" si="3"/>
        <v>0.02107728337</v>
      </c>
      <c r="K10" s="33">
        <v>4.23</v>
      </c>
      <c r="L10" s="33">
        <v>4.34</v>
      </c>
      <c r="M10" s="31">
        <f t="shared" si="4"/>
        <v>0.02600472813</v>
      </c>
      <c r="N10" s="33">
        <v>4.24</v>
      </c>
      <c r="O10" s="33">
        <v>4.36</v>
      </c>
      <c r="P10" s="31">
        <f t="shared" si="5"/>
        <v>0.02830188679</v>
      </c>
      <c r="Q10" s="33">
        <v>4.24</v>
      </c>
      <c r="R10" s="33">
        <v>4.35</v>
      </c>
      <c r="S10" s="31">
        <f t="shared" si="6"/>
        <v>0.02594339623</v>
      </c>
      <c r="T10" s="4"/>
      <c r="U10" s="4"/>
      <c r="V10" s="4"/>
      <c r="W10" s="4"/>
      <c r="X10" s="4"/>
      <c r="Y10" s="4"/>
      <c r="Z10" s="4"/>
    </row>
    <row r="11">
      <c r="A11" s="32" t="s">
        <v>30</v>
      </c>
      <c r="B11" s="33">
        <v>3.91</v>
      </c>
      <c r="C11" s="33">
        <v>4.19</v>
      </c>
      <c r="D11" s="34">
        <f t="shared" si="1"/>
        <v>0.0716112532</v>
      </c>
      <c r="E11" s="35">
        <v>4.11</v>
      </c>
      <c r="F11" s="35">
        <v>4.25</v>
      </c>
      <c r="G11" s="34">
        <f t="shared" si="2"/>
        <v>0.03406326034</v>
      </c>
      <c r="H11" s="35">
        <v>3.88</v>
      </c>
      <c r="I11" s="35">
        <v>4.26</v>
      </c>
      <c r="J11" s="34">
        <f t="shared" si="3"/>
        <v>0.09793814433</v>
      </c>
      <c r="K11" s="35">
        <v>3.53</v>
      </c>
      <c r="L11" s="35">
        <v>4.14</v>
      </c>
      <c r="M11" s="34">
        <f t="shared" si="4"/>
        <v>0.1728045326</v>
      </c>
      <c r="N11" s="35">
        <v>3.96</v>
      </c>
      <c r="O11" s="35">
        <v>4.31</v>
      </c>
      <c r="P11" s="34">
        <f t="shared" si="5"/>
        <v>0.08838383838</v>
      </c>
      <c r="Q11" s="35">
        <v>3.76</v>
      </c>
      <c r="R11" s="35">
        <v>4.21</v>
      </c>
      <c r="S11" s="34">
        <f t="shared" si="6"/>
        <v>0.1196808511</v>
      </c>
      <c r="T11" s="4"/>
      <c r="U11" s="4"/>
      <c r="V11" s="4"/>
      <c r="W11" s="4"/>
      <c r="X11" s="4"/>
      <c r="Y11" s="4"/>
      <c r="Z11" s="4"/>
    </row>
    <row r="12">
      <c r="A12" s="29" t="s">
        <v>32</v>
      </c>
      <c r="B12" s="30">
        <v>4.27</v>
      </c>
      <c r="C12" s="30">
        <v>4.3</v>
      </c>
      <c r="D12" s="34">
        <f t="shared" si="1"/>
        <v>0.007025761124</v>
      </c>
      <c r="E12" s="35">
        <v>4.42</v>
      </c>
      <c r="F12" s="35">
        <v>4.35</v>
      </c>
      <c r="G12" s="34">
        <f t="shared" si="2"/>
        <v>-0.01583710407</v>
      </c>
      <c r="H12" s="35">
        <v>4.3</v>
      </c>
      <c r="I12" s="35">
        <v>4.4</v>
      </c>
      <c r="J12" s="34">
        <f t="shared" si="3"/>
        <v>0.02325581395</v>
      </c>
      <c r="K12" s="35">
        <v>4.29</v>
      </c>
      <c r="L12" s="35">
        <v>4.37</v>
      </c>
      <c r="M12" s="34">
        <f t="shared" si="4"/>
        <v>0.01864801865</v>
      </c>
      <c r="N12" s="35">
        <v>4.28</v>
      </c>
      <c r="O12" s="35">
        <v>4.38</v>
      </c>
      <c r="P12" s="34">
        <f t="shared" si="5"/>
        <v>0.02336448598</v>
      </c>
      <c r="Q12" s="35">
        <v>4.23</v>
      </c>
      <c r="R12" s="35">
        <v>4.36</v>
      </c>
      <c r="S12" s="34">
        <f t="shared" si="6"/>
        <v>0.03073286052</v>
      </c>
      <c r="T12" s="4"/>
      <c r="U12" s="4"/>
      <c r="V12" s="4"/>
      <c r="W12" s="4"/>
      <c r="X12" s="4"/>
      <c r="Y12" s="4"/>
      <c r="Z12" s="4"/>
    </row>
    <row r="13">
      <c r="A13" s="32" t="s">
        <v>33</v>
      </c>
      <c r="B13" s="33">
        <v>4.16</v>
      </c>
      <c r="C13" s="33">
        <v>4.33</v>
      </c>
      <c r="D13" s="34">
        <f t="shared" si="1"/>
        <v>0.04086538462</v>
      </c>
      <c r="E13" s="35">
        <v>4.18</v>
      </c>
      <c r="F13" s="35">
        <v>4.33</v>
      </c>
      <c r="G13" s="34">
        <f t="shared" si="2"/>
        <v>0.03588516746</v>
      </c>
      <c r="H13" s="35">
        <v>4.21</v>
      </c>
      <c r="I13" s="35">
        <v>4.21</v>
      </c>
      <c r="J13" s="34">
        <f t="shared" si="3"/>
        <v>0</v>
      </c>
      <c r="K13" s="35">
        <v>4.13</v>
      </c>
      <c r="L13" s="35">
        <v>4.29</v>
      </c>
      <c r="M13" s="34">
        <f t="shared" si="4"/>
        <v>0.0387409201</v>
      </c>
      <c r="N13" s="35">
        <v>4.11</v>
      </c>
      <c r="O13" s="35">
        <v>4.33</v>
      </c>
      <c r="P13" s="34">
        <f t="shared" si="5"/>
        <v>0.05352798054</v>
      </c>
      <c r="Q13" s="35">
        <v>4.05</v>
      </c>
      <c r="R13" s="35">
        <v>4.21</v>
      </c>
      <c r="S13" s="34">
        <f t="shared" si="6"/>
        <v>0.03950617284</v>
      </c>
      <c r="T13" s="4"/>
      <c r="U13" s="4"/>
      <c r="V13" s="4"/>
      <c r="W13" s="4"/>
      <c r="X13" s="4"/>
      <c r="Y13" s="4"/>
      <c r="Z13" s="4"/>
    </row>
    <row r="14">
      <c r="A14" s="29" t="s">
        <v>35</v>
      </c>
      <c r="B14" s="30">
        <v>4.28</v>
      </c>
      <c r="C14" s="30">
        <v>4.33</v>
      </c>
      <c r="D14" s="34">
        <f t="shared" si="1"/>
        <v>0.01168224299</v>
      </c>
      <c r="E14" s="35">
        <v>4.3</v>
      </c>
      <c r="F14" s="35">
        <v>4.42</v>
      </c>
      <c r="G14" s="34">
        <f t="shared" si="2"/>
        <v>0.02790697674</v>
      </c>
      <c r="H14" s="35">
        <v>4.34</v>
      </c>
      <c r="I14" s="35">
        <v>4.42</v>
      </c>
      <c r="J14" s="34">
        <f t="shared" si="3"/>
        <v>0.01843317972</v>
      </c>
      <c r="K14" s="35">
        <v>4.27</v>
      </c>
      <c r="L14" s="35">
        <v>4.38</v>
      </c>
      <c r="M14" s="34">
        <f t="shared" si="4"/>
        <v>0.02576112412</v>
      </c>
      <c r="N14" s="35">
        <v>4.31</v>
      </c>
      <c r="O14" s="35">
        <v>4.36</v>
      </c>
      <c r="P14" s="34">
        <f t="shared" si="5"/>
        <v>0.01160092807</v>
      </c>
      <c r="Q14" s="35">
        <v>4.19</v>
      </c>
      <c r="R14" s="35">
        <v>4.32</v>
      </c>
      <c r="S14" s="34">
        <f t="shared" si="6"/>
        <v>0.03102625298</v>
      </c>
      <c r="T14" s="4"/>
      <c r="U14" s="4"/>
      <c r="V14" s="4"/>
      <c r="W14" s="4"/>
      <c r="X14" s="4"/>
      <c r="Y14" s="4"/>
      <c r="Z14" s="4"/>
    </row>
    <row r="15">
      <c r="A15" s="32" t="s">
        <v>37</v>
      </c>
      <c r="B15" s="33">
        <v>4.14</v>
      </c>
      <c r="C15" s="33">
        <v>4.21</v>
      </c>
      <c r="D15" s="34">
        <f t="shared" si="1"/>
        <v>0.01690821256</v>
      </c>
      <c r="E15" s="35">
        <v>4.2</v>
      </c>
      <c r="F15" s="35">
        <v>4.27</v>
      </c>
      <c r="G15" s="34">
        <f t="shared" si="2"/>
        <v>0.01666666667</v>
      </c>
      <c r="H15" s="35">
        <v>4.16</v>
      </c>
      <c r="I15" s="35">
        <v>4.24</v>
      </c>
      <c r="J15" s="34">
        <f t="shared" si="3"/>
        <v>0.01923076923</v>
      </c>
      <c r="K15" s="35">
        <v>4.09</v>
      </c>
      <c r="L15" s="35">
        <v>4.23</v>
      </c>
      <c r="M15" s="34">
        <f t="shared" si="4"/>
        <v>0.03422982885</v>
      </c>
      <c r="N15" s="35">
        <v>4.06</v>
      </c>
      <c r="O15" s="35">
        <v>4.25</v>
      </c>
      <c r="P15" s="34">
        <f t="shared" si="5"/>
        <v>0.04679802956</v>
      </c>
      <c r="Q15" s="35">
        <v>4.06</v>
      </c>
      <c r="R15" s="35">
        <v>4.17</v>
      </c>
      <c r="S15" s="34">
        <f t="shared" si="6"/>
        <v>0.02709359606</v>
      </c>
      <c r="T15" s="4"/>
      <c r="U15" s="4"/>
      <c r="V15" s="4"/>
      <c r="W15" s="4"/>
      <c r="X15" s="4"/>
      <c r="Y15" s="4"/>
      <c r="Z15" s="4"/>
    </row>
    <row r="16">
      <c r="A16" s="36" t="s">
        <v>38</v>
      </c>
      <c r="B16" s="35">
        <v>4.24</v>
      </c>
      <c r="C16" s="35">
        <v>4.25</v>
      </c>
      <c r="D16" s="34">
        <f t="shared" si="1"/>
        <v>0.002358490566</v>
      </c>
      <c r="E16" s="35">
        <v>4.26</v>
      </c>
      <c r="F16" s="35">
        <v>4.25</v>
      </c>
      <c r="G16" s="34">
        <f t="shared" si="2"/>
        <v>-0.00234741784</v>
      </c>
      <c r="H16" s="35">
        <v>4.23</v>
      </c>
      <c r="I16" s="35">
        <v>4.24</v>
      </c>
      <c r="J16" s="34">
        <f t="shared" si="3"/>
        <v>0.002364066194</v>
      </c>
      <c r="K16" s="35">
        <v>4.28</v>
      </c>
      <c r="L16" s="35">
        <v>4.24</v>
      </c>
      <c r="M16" s="34">
        <f t="shared" si="4"/>
        <v>-0.009345794393</v>
      </c>
      <c r="N16" s="35">
        <v>4.2</v>
      </c>
      <c r="O16" s="35">
        <v>4.22</v>
      </c>
      <c r="P16" s="34">
        <f t="shared" si="5"/>
        <v>0.004761904762</v>
      </c>
      <c r="Q16" s="35">
        <v>4.21</v>
      </c>
      <c r="R16" s="35">
        <v>4.19</v>
      </c>
      <c r="S16" s="34">
        <f t="shared" si="6"/>
        <v>-0.004750593824</v>
      </c>
      <c r="T16" s="4"/>
      <c r="U16" s="4"/>
      <c r="V16" s="4"/>
      <c r="W16" s="4"/>
      <c r="X16" s="4"/>
      <c r="Y16" s="4"/>
      <c r="Z16" s="4"/>
    </row>
    <row r="17">
      <c r="A17" s="37" t="s">
        <v>40</v>
      </c>
      <c r="B17" s="38">
        <v>4.31</v>
      </c>
      <c r="C17" s="38">
        <v>4.38</v>
      </c>
      <c r="D17" s="34">
        <f t="shared" si="1"/>
        <v>0.0162412993</v>
      </c>
      <c r="E17" s="35">
        <v>4.37</v>
      </c>
      <c r="F17" s="35">
        <v>4.37</v>
      </c>
      <c r="G17" s="34">
        <f t="shared" si="2"/>
        <v>0</v>
      </c>
      <c r="H17" s="35">
        <v>4.34</v>
      </c>
      <c r="I17" s="35">
        <v>4.44</v>
      </c>
      <c r="J17" s="34">
        <f t="shared" si="3"/>
        <v>0.02304147465</v>
      </c>
      <c r="K17" s="35">
        <v>4.35</v>
      </c>
      <c r="L17" s="35">
        <v>4.34</v>
      </c>
      <c r="M17" s="34">
        <f t="shared" si="4"/>
        <v>-0.002298850575</v>
      </c>
      <c r="N17" s="35">
        <v>4.31</v>
      </c>
      <c r="O17" s="35">
        <v>4.37</v>
      </c>
      <c r="P17" s="34">
        <f t="shared" si="5"/>
        <v>0.01392111369</v>
      </c>
      <c r="Q17" s="35">
        <v>4.26</v>
      </c>
      <c r="R17" s="35">
        <v>4.32</v>
      </c>
      <c r="S17" s="34">
        <f t="shared" si="6"/>
        <v>0.01408450704</v>
      </c>
      <c r="T17" s="4"/>
      <c r="U17" s="4"/>
      <c r="V17" s="4"/>
      <c r="W17" s="4"/>
      <c r="X17" s="4"/>
      <c r="Y17" s="4"/>
      <c r="Z17" s="4"/>
    </row>
    <row r="18">
      <c r="A18" s="36" t="s">
        <v>42</v>
      </c>
      <c r="B18" s="35">
        <v>4.17</v>
      </c>
      <c r="C18" s="35">
        <v>4.28</v>
      </c>
      <c r="D18" s="34">
        <f t="shared" si="1"/>
        <v>0.02637889688</v>
      </c>
      <c r="E18" s="35">
        <v>4.17</v>
      </c>
      <c r="F18" s="35">
        <v>4.36</v>
      </c>
      <c r="G18" s="34">
        <f t="shared" si="2"/>
        <v>0.04556354916</v>
      </c>
      <c r="H18" s="35">
        <v>4.1</v>
      </c>
      <c r="I18" s="35">
        <v>4.33</v>
      </c>
      <c r="J18" s="34">
        <f t="shared" si="3"/>
        <v>0.05609756098</v>
      </c>
      <c r="K18" s="35">
        <v>4.21</v>
      </c>
      <c r="L18" s="35">
        <v>4.44</v>
      </c>
      <c r="M18" s="34">
        <f t="shared" si="4"/>
        <v>0.05463182898</v>
      </c>
      <c r="N18" s="35">
        <v>4.12</v>
      </c>
      <c r="O18" s="35">
        <v>4.41</v>
      </c>
      <c r="P18" s="34">
        <f t="shared" si="5"/>
        <v>0.07038834951</v>
      </c>
      <c r="Q18" s="35">
        <v>4.08</v>
      </c>
      <c r="R18" s="35">
        <v>4.31</v>
      </c>
      <c r="S18" s="34">
        <f t="shared" si="6"/>
        <v>0.05637254902</v>
      </c>
      <c r="T18" s="4"/>
      <c r="U18" s="4"/>
      <c r="V18" s="4"/>
      <c r="W18" s="4"/>
      <c r="X18" s="4"/>
      <c r="Y18" s="4"/>
      <c r="Z18" s="4"/>
    </row>
    <row r="19">
      <c r="A19" s="32" t="s">
        <v>44</v>
      </c>
      <c r="B19" s="33">
        <v>4.27</v>
      </c>
      <c r="C19" s="33">
        <v>4.4</v>
      </c>
      <c r="D19" s="39">
        <f t="shared" si="1"/>
        <v>0.03044496487</v>
      </c>
      <c r="E19" s="35">
        <v>4.4</v>
      </c>
      <c r="F19" s="35">
        <v>4.57</v>
      </c>
      <c r="G19" s="39">
        <f t="shared" si="2"/>
        <v>0.03863636364</v>
      </c>
      <c r="H19" s="35">
        <v>4.27</v>
      </c>
      <c r="I19" s="35">
        <v>4.47</v>
      </c>
      <c r="J19" s="39">
        <f t="shared" si="3"/>
        <v>0.04683840749</v>
      </c>
      <c r="K19" s="35">
        <v>4.33</v>
      </c>
      <c r="L19" s="35">
        <v>4.5</v>
      </c>
      <c r="M19" s="39">
        <f t="shared" si="4"/>
        <v>0.03926096998</v>
      </c>
      <c r="N19" s="35">
        <v>4.33</v>
      </c>
      <c r="O19" s="35">
        <v>4.57</v>
      </c>
      <c r="P19" s="39">
        <f t="shared" si="5"/>
        <v>0.05542725173</v>
      </c>
      <c r="Q19" s="35">
        <v>4.2</v>
      </c>
      <c r="R19" s="35">
        <v>4.4</v>
      </c>
      <c r="S19" s="39">
        <f t="shared" si="6"/>
        <v>0.04761904762</v>
      </c>
      <c r="T19" s="4"/>
      <c r="U19" s="4"/>
      <c r="V19" s="4"/>
      <c r="W19" s="4"/>
      <c r="X19" s="4"/>
      <c r="Y19" s="4"/>
      <c r="Z19" s="4"/>
    </row>
    <row r="20">
      <c r="A20" s="29" t="s">
        <v>46</v>
      </c>
      <c r="B20" s="30">
        <v>4.34</v>
      </c>
      <c r="C20" s="30">
        <v>4.27</v>
      </c>
      <c r="D20" s="39">
        <f t="shared" si="1"/>
        <v>-0.01612903226</v>
      </c>
      <c r="E20" s="35">
        <v>4.43</v>
      </c>
      <c r="F20" s="35">
        <v>4.36</v>
      </c>
      <c r="G20" s="39">
        <f t="shared" si="2"/>
        <v>-0.0158013544</v>
      </c>
      <c r="H20" s="35">
        <v>4.23</v>
      </c>
      <c r="I20" s="35">
        <v>4.45</v>
      </c>
      <c r="J20" s="39">
        <f t="shared" si="3"/>
        <v>0.05200945626</v>
      </c>
      <c r="K20" s="35">
        <v>4.34</v>
      </c>
      <c r="L20" s="35">
        <v>4.45</v>
      </c>
      <c r="M20" s="39">
        <f t="shared" si="4"/>
        <v>0.02534562212</v>
      </c>
      <c r="N20" s="35">
        <v>4.29</v>
      </c>
      <c r="O20" s="35">
        <v>4.36</v>
      </c>
      <c r="P20" s="39">
        <f t="shared" si="5"/>
        <v>0.01631701632</v>
      </c>
      <c r="Q20" s="35">
        <v>4.2</v>
      </c>
      <c r="R20" s="35">
        <v>4.27</v>
      </c>
      <c r="S20" s="39">
        <f t="shared" si="6"/>
        <v>0.01666666667</v>
      </c>
      <c r="T20" s="4"/>
      <c r="U20" s="4"/>
      <c r="V20" s="4"/>
      <c r="W20" s="4"/>
      <c r="X20" s="4"/>
      <c r="Y20" s="4"/>
      <c r="Z20" s="4"/>
    </row>
    <row r="21">
      <c r="A21" s="37" t="s">
        <v>48</v>
      </c>
      <c r="B21" s="38">
        <v>4.27</v>
      </c>
      <c r="C21" s="38">
        <v>4.4</v>
      </c>
      <c r="D21" s="39">
        <f t="shared" si="1"/>
        <v>0.03044496487</v>
      </c>
      <c r="E21" s="35">
        <v>4.31</v>
      </c>
      <c r="F21" s="35">
        <v>4.47</v>
      </c>
      <c r="G21" s="39">
        <f t="shared" si="2"/>
        <v>0.03712296984</v>
      </c>
      <c r="H21" s="35">
        <v>4.24</v>
      </c>
      <c r="I21" s="35">
        <v>4.35</v>
      </c>
      <c r="J21" s="39">
        <f t="shared" si="3"/>
        <v>0.02594339623</v>
      </c>
      <c r="K21" s="35">
        <v>4.31</v>
      </c>
      <c r="L21" s="35">
        <v>4.41</v>
      </c>
      <c r="M21" s="39">
        <f t="shared" si="4"/>
        <v>0.02320185615</v>
      </c>
      <c r="N21" s="35">
        <v>4.36</v>
      </c>
      <c r="O21" s="35">
        <v>4.3</v>
      </c>
      <c r="P21" s="39">
        <f t="shared" si="5"/>
        <v>-0.01376146789</v>
      </c>
      <c r="Q21" s="35">
        <v>4.31</v>
      </c>
      <c r="R21" s="35">
        <v>4.31</v>
      </c>
      <c r="S21" s="39">
        <f t="shared" si="6"/>
        <v>0</v>
      </c>
      <c r="T21" s="4"/>
      <c r="U21" s="4"/>
      <c r="V21" s="4"/>
      <c r="W21" s="4"/>
      <c r="X21" s="4"/>
      <c r="Y21" s="4"/>
      <c r="Z21" s="4"/>
    </row>
    <row r="22">
      <c r="A22" s="29" t="s">
        <v>51</v>
      </c>
      <c r="B22" s="30">
        <v>4.21</v>
      </c>
      <c r="C22" s="30">
        <v>4.49</v>
      </c>
      <c r="D22" s="39">
        <f t="shared" si="1"/>
        <v>0.06650831354</v>
      </c>
      <c r="E22" s="35">
        <v>4.21</v>
      </c>
      <c r="F22" s="35">
        <v>4.47</v>
      </c>
      <c r="G22" s="39">
        <f t="shared" si="2"/>
        <v>0.06175771971</v>
      </c>
      <c r="H22" s="35">
        <v>4.19</v>
      </c>
      <c r="I22" s="35">
        <v>4.47</v>
      </c>
      <c r="J22" s="39">
        <f t="shared" si="3"/>
        <v>0.06682577566</v>
      </c>
      <c r="K22" s="35">
        <v>4.23</v>
      </c>
      <c r="L22" s="35">
        <v>4.49</v>
      </c>
      <c r="M22" s="39">
        <f t="shared" si="4"/>
        <v>0.06146572104</v>
      </c>
      <c r="N22" s="35">
        <v>4.17</v>
      </c>
      <c r="O22" s="35">
        <v>4.47</v>
      </c>
      <c r="P22" s="39">
        <f t="shared" si="5"/>
        <v>0.07194244604</v>
      </c>
      <c r="Q22" s="35">
        <v>4.13</v>
      </c>
      <c r="R22" s="35">
        <v>4.44</v>
      </c>
      <c r="S22" s="39">
        <f t="shared" si="6"/>
        <v>0.07506053269</v>
      </c>
      <c r="T22" s="4"/>
      <c r="U22" s="4"/>
      <c r="V22" s="4"/>
      <c r="W22" s="4"/>
      <c r="X22" s="4"/>
      <c r="Y22" s="4"/>
      <c r="Z22" s="4"/>
    </row>
    <row r="23">
      <c r="A23" s="32" t="s">
        <v>52</v>
      </c>
      <c r="B23" s="33">
        <v>4.21</v>
      </c>
      <c r="C23" s="33">
        <v>4.15</v>
      </c>
      <c r="D23" s="39">
        <f t="shared" si="1"/>
        <v>-0.01425178147</v>
      </c>
      <c r="E23" s="35">
        <v>4.31</v>
      </c>
      <c r="F23" s="35">
        <v>4.25</v>
      </c>
      <c r="G23" s="39">
        <f t="shared" si="2"/>
        <v>-0.01392111369</v>
      </c>
      <c r="H23" s="35">
        <v>4.29</v>
      </c>
      <c r="I23" s="35">
        <v>4.32</v>
      </c>
      <c r="J23" s="39">
        <f t="shared" si="3"/>
        <v>0.006993006993</v>
      </c>
      <c r="K23" s="35">
        <v>4.35</v>
      </c>
      <c r="L23" s="35">
        <v>4.25</v>
      </c>
      <c r="M23" s="39">
        <f t="shared" si="4"/>
        <v>-0.02298850575</v>
      </c>
      <c r="N23" s="35">
        <v>4.24</v>
      </c>
      <c r="O23" s="35">
        <v>4.25</v>
      </c>
      <c r="P23" s="39">
        <f t="shared" si="5"/>
        <v>0.002358490566</v>
      </c>
      <c r="Q23" s="35">
        <v>4.21</v>
      </c>
      <c r="R23" s="35">
        <v>4.26</v>
      </c>
      <c r="S23" s="39">
        <f t="shared" si="6"/>
        <v>0.01187648456</v>
      </c>
      <c r="T23" s="4"/>
      <c r="U23" s="4"/>
      <c r="V23" s="4"/>
      <c r="W23" s="4"/>
      <c r="X23" s="4"/>
      <c r="Y23" s="4"/>
      <c r="Z23" s="4"/>
    </row>
    <row r="24">
      <c r="A24" s="36" t="s">
        <v>54</v>
      </c>
      <c r="B24" s="35">
        <v>4.23</v>
      </c>
      <c r="C24" s="35">
        <v>4.32</v>
      </c>
      <c r="D24" s="39">
        <f t="shared" si="1"/>
        <v>0.02127659574</v>
      </c>
      <c r="E24" s="35">
        <v>4.45</v>
      </c>
      <c r="F24" s="35">
        <v>4.33</v>
      </c>
      <c r="G24" s="39">
        <f t="shared" si="2"/>
        <v>-0.02696629213</v>
      </c>
      <c r="H24" s="35">
        <v>4.43</v>
      </c>
      <c r="I24" s="35">
        <v>4.37</v>
      </c>
      <c r="J24" s="39">
        <f t="shared" si="3"/>
        <v>-0.01354401806</v>
      </c>
      <c r="K24" s="35">
        <v>4.25</v>
      </c>
      <c r="L24" s="35">
        <v>4.35</v>
      </c>
      <c r="M24" s="39">
        <f t="shared" si="4"/>
        <v>0.02352941176</v>
      </c>
      <c r="N24" s="35">
        <v>4.27</v>
      </c>
      <c r="O24" s="35">
        <v>4.33</v>
      </c>
      <c r="P24" s="39">
        <f t="shared" si="5"/>
        <v>0.01405152225</v>
      </c>
      <c r="Q24" s="35">
        <v>4.24</v>
      </c>
      <c r="R24" s="35">
        <v>4.32</v>
      </c>
      <c r="S24" s="39">
        <f t="shared" si="6"/>
        <v>0.01886792453</v>
      </c>
      <c r="T24" s="4"/>
      <c r="U24" s="4"/>
      <c r="V24" s="4"/>
      <c r="W24" s="4"/>
      <c r="X24" s="4"/>
      <c r="Y24" s="4"/>
      <c r="Z24" s="4"/>
    </row>
    <row r="25">
      <c r="A25" s="37" t="s">
        <v>57</v>
      </c>
      <c r="B25" s="38">
        <v>4.29</v>
      </c>
      <c r="C25" s="38">
        <v>4.41</v>
      </c>
      <c r="D25" s="39">
        <f t="shared" si="1"/>
        <v>0.02797202797</v>
      </c>
      <c r="E25" s="35">
        <v>4.31</v>
      </c>
      <c r="F25" s="35">
        <v>4.37</v>
      </c>
      <c r="G25" s="39">
        <f t="shared" si="2"/>
        <v>0.01392111369</v>
      </c>
      <c r="H25" s="35">
        <v>4.23</v>
      </c>
      <c r="I25" s="35">
        <v>4.39</v>
      </c>
      <c r="J25" s="39">
        <f t="shared" si="3"/>
        <v>0.0378250591</v>
      </c>
      <c r="K25" s="35">
        <v>4.29</v>
      </c>
      <c r="L25" s="35">
        <v>4.39</v>
      </c>
      <c r="M25" s="39">
        <f t="shared" si="4"/>
        <v>0.02331002331</v>
      </c>
      <c r="N25" s="35">
        <v>4.27</v>
      </c>
      <c r="O25" s="35">
        <v>4.41</v>
      </c>
      <c r="P25" s="39">
        <f t="shared" si="5"/>
        <v>0.03278688525</v>
      </c>
      <c r="Q25" s="35">
        <v>4.25</v>
      </c>
      <c r="R25" s="35">
        <v>4.33</v>
      </c>
      <c r="S25" s="39">
        <f t="shared" si="6"/>
        <v>0.01882352941</v>
      </c>
      <c r="T25" s="4"/>
      <c r="U25" s="4"/>
      <c r="V25" s="4"/>
      <c r="W25" s="4"/>
      <c r="X25" s="4"/>
      <c r="Y25" s="4"/>
      <c r="Z25" s="4"/>
    </row>
    <row r="26">
      <c r="A26" s="29" t="s">
        <v>62</v>
      </c>
      <c r="B26" s="30">
        <v>4.31</v>
      </c>
      <c r="C26" s="30">
        <v>4.43</v>
      </c>
      <c r="D26" s="39">
        <f t="shared" si="1"/>
        <v>0.02784222738</v>
      </c>
      <c r="E26" s="35">
        <v>4.39</v>
      </c>
      <c r="F26" s="35">
        <v>4.49</v>
      </c>
      <c r="G26" s="39">
        <f t="shared" si="2"/>
        <v>0.02277904328</v>
      </c>
      <c r="H26" s="35">
        <v>4.33</v>
      </c>
      <c r="I26" s="35">
        <v>4.47</v>
      </c>
      <c r="J26" s="39">
        <f t="shared" si="3"/>
        <v>0.03233256351</v>
      </c>
      <c r="K26" s="35">
        <v>4.25</v>
      </c>
      <c r="L26" s="35">
        <v>4.36</v>
      </c>
      <c r="M26" s="39">
        <f t="shared" si="4"/>
        <v>0.02588235294</v>
      </c>
      <c r="N26" s="35">
        <v>4.3</v>
      </c>
      <c r="O26" s="35">
        <v>4.47</v>
      </c>
      <c r="P26" s="39">
        <f t="shared" si="5"/>
        <v>0.03953488372</v>
      </c>
      <c r="Q26" s="35">
        <v>4.22</v>
      </c>
      <c r="R26" s="35">
        <v>4.32</v>
      </c>
      <c r="S26" s="39">
        <f t="shared" si="6"/>
        <v>0.02369668246</v>
      </c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</sheetData>
  <mergeCells count="1">
    <mergeCell ref="A1:S1"/>
  </mergeCell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5A4EB010A0FD41B05FE4E56714D165" ma:contentTypeVersion="14" ma:contentTypeDescription="Create a new document." ma:contentTypeScope="" ma:versionID="eb7d675ed6edb00e72ffaccfb434ec1c">
  <xsd:schema xmlns:xsd="http://www.w3.org/2001/XMLSchema" xmlns:xs="http://www.w3.org/2001/XMLSchema" xmlns:p="http://schemas.microsoft.com/office/2006/metadata/properties" xmlns:ns2="5a766c96-a89a-4ab5-8bfd-6bcaa37b917a" xmlns:ns3="a01106a4-83b8-463e-ac28-39058dcbe915" targetNamespace="http://schemas.microsoft.com/office/2006/metadata/properties" ma:root="true" ma:fieldsID="37fe8fb1ddd27b02bf40fc0142bc5f78" ns2:_="" ns3:_="">
    <xsd:import namespace="5a766c96-a89a-4ab5-8bfd-6bcaa37b917a"/>
    <xsd:import namespace="a01106a4-83b8-463e-ac28-39058dcbe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766c96-a89a-4ab5-8bfd-6bcaa37b91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f70da25-28e4-4112-8120-118e42e971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1106a4-83b8-463e-ac28-39058dcbe91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9de7563-6c15-4720-b140-1c6b4b844845}" ma:internalName="TaxCatchAll" ma:showField="CatchAllData" ma:web="a01106a4-83b8-463e-ac28-39058dcbe9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766c96-a89a-4ab5-8bfd-6bcaa37b917a">
      <Terms xmlns="http://schemas.microsoft.com/office/infopath/2007/PartnerControls"/>
    </lcf76f155ced4ddcb4097134ff3c332f>
    <TaxCatchAll xmlns="a01106a4-83b8-463e-ac28-39058dcbe915" xsi:nil="true"/>
  </documentManagement>
</p:properties>
</file>

<file path=customXml/itemProps1.xml><?xml version="1.0" encoding="utf-8"?>
<ds:datastoreItem xmlns:ds="http://schemas.openxmlformats.org/officeDocument/2006/customXml" ds:itemID="{809E4A0C-184C-4D20-81DC-D828058A0F7D}"/>
</file>

<file path=customXml/itemProps2.xml><?xml version="1.0" encoding="utf-8"?>
<ds:datastoreItem xmlns:ds="http://schemas.openxmlformats.org/officeDocument/2006/customXml" ds:itemID="{97D5D6D9-A2C2-40CB-9D86-BEC28782C8B9}"/>
</file>

<file path=customXml/itemProps3.xml><?xml version="1.0" encoding="utf-8"?>
<ds:datastoreItem xmlns:ds="http://schemas.openxmlformats.org/officeDocument/2006/customXml" ds:itemID="{FC53D5CC-CE3A-4501-BA5B-B573FDE98DB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0x0101004F5A4EB010A0FD41B05FE4E56714D165</vt:lpwstr>
  </property>
</Properties>
</file>